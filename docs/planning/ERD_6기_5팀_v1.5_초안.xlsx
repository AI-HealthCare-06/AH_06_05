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성 규칙" sheetId="1" state="visible" r:id="rId1"/>
    <sheet name="변경 이력" sheetId="2" state="visible" r:id="rId2"/>
    <sheet name="요약" sheetId="3" state="visible" r:id="rId3"/>
    <sheet name="사용자" sheetId="4" state="visible" r:id="rId4"/>
    <sheet name="입력" sheetId="5" state="visible" r:id="rId5"/>
    <sheet name="분석" sheetId="6" state="visible" r:id="rId6"/>
    <sheet name="챗봇" sheetId="7" state="visible" r:id="rId7"/>
    <sheet name="실천·보상" sheetId="8" state="visible" r:id="rId8"/>
    <sheet name="마스터" sheetId="9" state="visible" r:id="rId9"/>
    <sheet name="FHIR 대응" sheetId="10" state="visible" r:id="rId10"/>
  </sheets>
  <definedNames>
    <definedName name="_xlnm._FilterDatabase" localSheetId="3" hidden="1">'사용자'!$A$4:$N$21</definedName>
    <definedName name="_xlnm._FilterDatabase" localSheetId="4" hidden="1">'입력'!$A$4:$N$56</definedName>
    <definedName name="_xlnm._FilterDatabase" localSheetId="5" hidden="1">'분석'!$A$4:$N$48</definedName>
    <definedName name="_xlnm._FilterDatabase" localSheetId="6" hidden="1">'챗봇'!$A$4:$N$27</definedName>
    <definedName name="_xlnm._FilterDatabase" localSheetId="7" hidden="1">'실천·보상'!$A$4:$N$39</definedName>
    <definedName name="_xlnm._FilterDatabase" localSheetId="8" hidden="1">'마스터'!$A$4:$N$106</definedName>
    <definedName name="_xlnm._FilterDatabase" localSheetId="9" hidden="1">'FHIR 대응'!$A$5:$H$90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sz val="11"/>
    </font>
    <font>
      <name val="맑은 고딕"/>
      <b val="1"/>
      <sz val="11"/>
    </font>
    <font>
      <name val="맑은 고딕"/>
      <b val="1"/>
      <color rgb="00FFFFFF"/>
      <sz val="14"/>
    </font>
    <font>
      <name val="맑은 고딕"/>
      <color rgb="006B7280"/>
      <sz val="9"/>
    </font>
    <font>
      <name val="맑은 고딕"/>
      <b val="1"/>
      <color rgb="00FFFFFF"/>
      <sz val="10"/>
    </font>
    <font>
      <name val="맑은 고딕"/>
      <b val="1"/>
      <color rgb="00374151"/>
      <sz val="10"/>
    </font>
    <font>
      <name val="맑은 고딕"/>
      <b val="1"/>
      <color rgb="001F4E79"/>
      <sz val="9"/>
    </font>
    <font>
      <name val="맑은 고딕"/>
      <color rgb="004B5563"/>
      <sz val="9"/>
    </font>
    <font>
      <name val="맑은 고딕"/>
      <b val="1"/>
      <sz val="14"/>
    </font>
    <font>
      <name val="맑은 고딕"/>
      <color rgb="00475569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D4ED8"/>
      <sz val="10"/>
    </font>
    <font>
      <name val="맑은 고딕"/>
      <color rgb="001D4ED8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EEF5"/>
      </patternFill>
    </fill>
    <fill>
      <patternFill patternType="solid">
        <fgColor rgb="00FAFBFC"/>
      </patternFill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ECFDF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3" fillId="1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작성 규칙</t>
        </is>
      </c>
      <c r="B1" s="2" t="n"/>
    </row>
    <row r="2">
      <c r="A2" s="3" t="inlineStr">
        <is>
          <t>탭 구성</t>
        </is>
      </c>
      <c r="B2" s="2" t="inlineStr">
        <is>
          <t>작성 규칙 / 변경 이력 / 요약 / 사용자 / 입력 / 분석 / 챗봇 / 실천·보상 / 마스터 / FHIR 대응 — 규칙과 변경 이력을 먼저 확인한 뒤 영역(담당자)별 탭을 수정</t>
        </is>
      </c>
    </row>
    <row r="3">
      <c r="A3" s="3" t="inlineStr">
        <is>
          <t>다이어그램</t>
        </is>
      </c>
      <c r="B3" s="2" t="inlineStr">
        <is>
          <t>같은 폴더의 ERD_6기_5팀_v1.3.dbml을 dbdiagram.io에 붙여넣으면 관계도가 그려짐. 테이블 · 필드를 바꾸면 dbml과 이 엑셀을 함께 고침</t>
        </is>
      </c>
    </row>
    <row r="4">
      <c r="A4" s="3" t="inlineStr">
        <is>
          <t>키</t>
        </is>
      </c>
      <c r="B4" s="2" t="inlineStr">
        <is>
          <t>PK 기본키 · FK 외래키(참조 칸에 대상 테이블.필드) · UQ 유일값</t>
        </is>
      </c>
    </row>
    <row r="5">
      <c r="A5" s="3" t="inlineStr">
        <is>
          <t>필수</t>
        </is>
      </c>
      <c r="B5" s="2" t="inlineStr">
        <is>
          <t>Y = NOT NULL 또는 PK / N = 비어 있어도 됨</t>
        </is>
      </c>
    </row>
    <row r="6">
      <c r="A6" s="3" t="inlineStr">
        <is>
          <t>변경</t>
        </is>
      </c>
      <c r="B6" s="2" t="inlineStr">
        <is>
          <t>v0.1 대비 — 기존 / 수정 (노란 배경) / 신규 (파란 배경)</t>
        </is>
      </c>
    </row>
    <row r="7">
      <c r="A7" s="3" t="inlineStr">
        <is>
          <t>최종 수정</t>
        </is>
      </c>
      <c r="B7" s="2" t="inlineStr">
        <is>
          <t>그 필드가 마지막으로 바뀐 버전. 바꿀 때마다 변경 이력 탭에 버전 요약 한 줄 + 위치 · 현행(As-Is) · 개정(To-Be) 세부 행을 추가 — 현행에는 바꾸기 전 정의(타입 · 키 · 필수 · 설명)를 그대로 적음</t>
        </is>
      </c>
    </row>
    <row r="8">
      <c r="A8" s="3" t="inlineStr">
        <is>
          <t>확인 필요</t>
        </is>
      </c>
      <c r="B8" s="2" t="inlineStr">
        <is>
          <t>🟡 = 담당자 확인 필요 (설명에 누구 확인인지 적음)</t>
        </is>
      </c>
    </row>
    <row r="9">
      <c r="A9" s="3" t="inlineStr">
        <is>
          <t>설계 원칙</t>
        </is>
      </c>
      <c r="B9" s="2" t="inlineStr">
        <is>
          <t>1. 외부 공공데이터는 "마스터"로 분리해 사전 적재 (요청 시 API 호출 안 함)
2. DUR 규칙은 성분 단위로 정규화 (제품 87만행 → 성분 9.7만쌍)
3. 민감정보는 최소 저장 (원본 이미지 미저장, 식별정보 마스킹)
4. 조인 키: 심평원 제품코드(EDI) = 식약처 EDI_CODE
5. 안전성 경고는 DB 조회 결과만 저장 (AI 생성 아님)</t>
        </is>
      </c>
    </row>
    <row r="10">
      <c r="A10" s="3" t="inlineStr">
        <is>
          <t>FHIR 대응</t>
        </is>
      </c>
      <c r="B10" s="2" t="inlineStr">
        <is>
          <t>테이블 · 필드를 추가하거나 바꾸면 FHIR 대응 탭에도 같은 행을 추가 · 수정 (대응 수준: 일치 / 변환 / 확장 / FHIR 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E1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4" customWidth="1" min="3" max="3"/>
    <col width="64" customWidth="1" min="4" max="4"/>
    <col width="10" customWidth="1" min="5" max="5"/>
  </cols>
  <sheetData>
    <row r="1" ht="30" customHeight="1">
      <c r="A1" s="4" t="inlineStr">
        <is>
          <t>변경 이력</t>
        </is>
      </c>
    </row>
    <row r="2" ht="30" customHeight="1">
      <c r="A2" s="5" t="inlineStr">
        <is>
          <t>※ 왼쪽 행 번호 옆 [+] / [-] 버튼으로 세부사항을 펼치고 접을 수 있습니다. 바꿀 때마다 버전 요약 한 줄 + 아래에 위치 · 현행(As-Is) · 개정(To-Be)을 적고, 현행에는 바꾸기 전 값을 그대로 남겨 주세요.</t>
        </is>
      </c>
    </row>
    <row r="3">
      <c r="A3" s="6" t="inlineStr">
        <is>
          <t>버전</t>
        </is>
      </c>
      <c r="B3" s="6" t="inlineStr">
        <is>
          <t>일자</t>
        </is>
      </c>
      <c r="C3" s="6" t="inlineStr">
        <is>
          <t>변경 내용</t>
        </is>
      </c>
      <c r="D3" s="26" t="n"/>
      <c r="E3" s="6" t="inlineStr">
        <is>
          <t>담당</t>
        </is>
      </c>
    </row>
    <row r="4" ht="32" customHeight="1">
      <c r="A4" s="7" t="inlineStr">
        <is>
          <t>v0.1</t>
        </is>
      </c>
      <c r="B4" s="7" t="inlineStr">
        <is>
          <t>2026-09-22</t>
        </is>
      </c>
      <c r="C4" s="8" t="inlineStr">
        <is>
          <t>최초 작성 — 마스터 영역 확정, 사용자 · 입력 · 분석 · 챗봇 영역 초안 (dbml)</t>
        </is>
      </c>
      <c r="D4" s="26" t="n"/>
      <c r="E4" s="7" t="inlineStr">
        <is>
          <t>이형준</t>
        </is>
      </c>
    </row>
    <row r="5" ht="46" customHeight="1">
      <c r="A5" s="7" t="inlineStr">
        <is>
          <t>v1.0</t>
        </is>
      </c>
      <c r="B5" s="7" t="inlineStr">
        <is>
          <t>2026-09-24</t>
        </is>
      </c>
      <c r="C5" s="8" t="inlineStr">
        <is>
          <t>통합 와이어프레임(45개 화면) · API 명세서 v1.0 · 요구사항 v1.0 기준 반영 — 테이블 9개 신규(실천 · 보상 4개 포함), 분석:처방전 1:N, 처방전 질병코드 N개, analyses 단계 · 재시도, 로그인 잠금 · 동의 기록 등</t>
        </is>
      </c>
      <c r="D5" s="26" t="n"/>
      <c r="E5" s="7" t="inlineStr">
        <is>
          <t>이형준</t>
        </is>
      </c>
    </row>
    <row r="6" hidden="1" outlineLevel="1">
      <c r="A6" s="9" t="n"/>
      <c r="B6" s="9" t="inlineStr">
        <is>
          <t>위치</t>
        </is>
      </c>
      <c r="C6" s="9" t="inlineStr">
        <is>
          <t>현행 (As-Is)</t>
        </is>
      </c>
      <c r="D6" s="9" t="inlineStr">
        <is>
          <t>개정 (To-Be)</t>
        </is>
      </c>
      <c r="E6" s="9" t="n"/>
    </row>
    <row r="7" hidden="1" outlineLevel="1" ht="42" customHeight="1">
      <c r="A7" s="10" t="n"/>
      <c r="B7" s="10" t="inlineStr">
        <is>
          <t>users / login_id — 설명 변경</t>
        </is>
      </c>
      <c r="C7" s="10" t="inlineStr">
        <is>
          <t>login_id varchar(100) · UQ · NOT NULL — 이메일 또는 소셜 ID</t>
        </is>
      </c>
      <c r="D7" s="10" t="inlineStr">
        <is>
          <t>login_id varchar(100) · UQ · NOT NULL — 이메일
사유: 소셜 로그인 제외, 이메일 가입만</t>
        </is>
      </c>
      <c r="E7" s="10" t="n"/>
    </row>
    <row r="8" hidden="1" outlineLevel="1" ht="42" customHeight="1">
      <c r="A8" s="10" t="n"/>
      <c r="B8" s="10" t="inlineStr">
        <is>
          <t>users / password_hash — 정의 변경</t>
        </is>
      </c>
      <c r="C8" s="10" t="inlineStr">
        <is>
          <t>password_hash varchar(255) — 소셜 로그인 시 null</t>
        </is>
      </c>
      <c r="D8" s="10" t="inlineStr">
        <is>
          <t>password_hash varchar(255) · NOT NULL
사유: 소셜 로그인 제외 → 항상 필요</t>
        </is>
      </c>
      <c r="E8" s="10" t="n"/>
    </row>
    <row r="9" hidden="1" outlineLevel="1" ht="20" customHeight="1">
      <c r="A9" s="10" t="n"/>
      <c r="B9" s="10" t="inlineStr">
        <is>
          <t>users / nickname — 설명 변경</t>
        </is>
      </c>
      <c r="C9" s="10" t="inlineStr">
        <is>
          <t>nickname varchar(50)</t>
        </is>
      </c>
      <c r="D9" s="10" t="inlineStr">
        <is>
          <t>nickname varchar(50) — 선택 입력. 홈 인사말용</t>
        </is>
      </c>
      <c r="E9" s="10" t="n"/>
    </row>
    <row r="10" hidden="1" outlineLevel="1" ht="28" customHeight="1">
      <c r="A10" s="10" t="n"/>
      <c r="B10" s="10" t="inlineStr">
        <is>
          <t>users / birth_year — 정의 변경</t>
        </is>
      </c>
      <c r="C10" s="10" t="inlineStr">
        <is>
          <t>birth_year smallint — 생년월일 대신 출생연도만 (최소 수집)</t>
        </is>
      </c>
      <c r="D10" s="10" t="inlineStr">
        <is>
          <t>birth_year smallint · NOT NULL — 생년월일 대신 출생연도만 (최소 수집) · 노인주의 · 연령금기 판정</t>
        </is>
      </c>
      <c r="E10" s="10" t="n"/>
    </row>
    <row r="11" hidden="1" outlineLevel="1" ht="20" customHeight="1">
      <c r="A11" s="10" t="n"/>
      <c r="B11" s="10" t="inlineStr">
        <is>
          <t>users / sex — 정의 변경</t>
        </is>
      </c>
      <c r="C11" s="10" t="inlineStr">
        <is>
          <t>sex varchar(1) — M / F</t>
        </is>
      </c>
      <c r="D11" s="10" t="inlineStr">
        <is>
          <t>sex varchar(1) · NOT NULL — M / F</t>
        </is>
      </c>
      <c r="E11" s="10" t="n"/>
    </row>
    <row r="12" hidden="1" outlineLevel="1" ht="42" customHeight="1">
      <c r="A12" s="10" t="n"/>
      <c r="B12" s="10" t="inlineStr">
        <is>
          <t>users / failed_login_count — 필드 추가</t>
        </is>
      </c>
      <c r="C12" s="10" t="inlineStr">
        <is>
          <t>(없음)</t>
        </is>
      </c>
      <c r="D12" s="10" t="inlineStr">
        <is>
          <t>failed_login_count smallint · 기본값 0 — v1.0 · 5회 실패 시 잠금 (CM-01-E1)
사유: A-2 · REQ-002 — 5회 실패 10분 잠금</t>
        </is>
      </c>
      <c r="E12" s="10" t="n"/>
    </row>
    <row r="13" hidden="1" outlineLevel="1" ht="42" customHeight="1">
      <c r="A13" s="10" t="n"/>
      <c r="B13" s="10" t="inlineStr">
        <is>
          <t>users / locked_until — 필드 추가</t>
        </is>
      </c>
      <c r="C13" s="10" t="inlineStr">
        <is>
          <t>(없음)</t>
        </is>
      </c>
      <c r="D13" s="10" t="inlineStr">
        <is>
          <t>locked_until timestamp — v1.0 · 잠금 해제 시각 (CM-01-E2)
사유: A-2 · REQ-002</t>
        </is>
      </c>
      <c r="E13" s="10" t="n"/>
    </row>
    <row r="14" hidden="1" outlineLevel="1" ht="20" customHeight="1">
      <c r="A14" s="10" t="n"/>
      <c r="B14" s="10" t="inlineStr">
        <is>
          <t>users / updated_at — 필드 추가</t>
        </is>
      </c>
      <c r="C14" s="10" t="inlineStr">
        <is>
          <t>(없음)</t>
        </is>
      </c>
      <c r="D14" s="10" t="inlineStr">
        <is>
          <t>updated_at timestamp</t>
        </is>
      </c>
      <c r="E14" s="10" t="n"/>
    </row>
    <row r="15" hidden="1" outlineLevel="1" ht="28" customHeight="1">
      <c r="A15" s="10" t="n"/>
      <c r="B15" s="10" t="inlineStr">
        <is>
          <t>users / deleted_at — 설명 변경</t>
        </is>
      </c>
      <c r="C15" s="10" t="inlineStr">
        <is>
          <t>deleted_at timestamp — 탈퇴 시 소프트 삭제 후 개인정보 파기</t>
        </is>
      </c>
      <c r="D15" s="10" t="inlineStr">
        <is>
          <t>deleted_at timestamp — 탈퇴 시 개인정보 파기 후 시각만 남김 (CM-07)</t>
        </is>
      </c>
      <c r="E15" s="10" t="n"/>
    </row>
    <row r="16" hidden="1" outlineLevel="1" ht="20" customHeight="1">
      <c r="A16" s="10" t="n"/>
      <c r="B16" s="10" t="inlineStr">
        <is>
          <t>users (회원) / 테이블 설명</t>
        </is>
      </c>
      <c r="C16" s="10" t="inlineStr">
        <is>
          <t>개인 식별정보는 최소로 수집. 성명·주민번호·연락처 미수집</t>
        </is>
      </c>
      <c r="D16" s="10" t="inlineStr">
        <is>
          <t>성명 · 주민번호 · 연락처 미수집</t>
        </is>
      </c>
      <c r="E16" s="10" t="n"/>
    </row>
    <row r="17" hidden="1" outlineLevel="1" ht="70" customHeight="1">
      <c r="A17" s="10" t="n"/>
      <c r="B17" s="10" t="inlineStr">
        <is>
          <t>user_consents (동의 기록) — 테이블 신규</t>
        </is>
      </c>
      <c r="C17" s="10" t="inlineStr">
        <is>
          <t>(없음)</t>
        </is>
      </c>
      <c r="D17" s="10" t="inlineStr">
        <is>
          <t>필드 6개: id, user_id, consent_type, agreed, agreed_at, withdrawn_at
v1.0 신규 · CM-02 가입 동의, CM-05 동의 내역
사유: U-4 · U-5 · REQ-005 · 007 — 민감정보 별도 동의 기록</t>
        </is>
      </c>
      <c r="E17" s="10" t="n"/>
    </row>
    <row r="18" hidden="1" outlineLevel="1" ht="42" customHeight="1">
      <c r="A18" s="10" t="n"/>
      <c r="B18" s="10" t="inlineStr">
        <is>
          <t>prescriptions / disease_code — 삭제</t>
        </is>
      </c>
      <c r="C18" s="10" t="inlineStr">
        <is>
          <t>disease_code varchar(10) · FK · → diseases.code — 질병분류기호 (KCD)</t>
        </is>
      </c>
      <c r="D18" s="10" t="inlineStr">
        <is>
          <t>삭제
사유: O-2 · REQ-022 — 질병코드는 주상병 + 부상병 여러 개 → prescription_diseases로 이동</t>
        </is>
      </c>
      <c r="E18" s="10" t="n"/>
    </row>
    <row r="19" hidden="1" outlineLevel="1" ht="56" customHeight="1">
      <c r="A19" s="10" t="n"/>
      <c r="B19" s="10" t="inlineStr">
        <is>
          <t>prescriptions / doc_type — 필드 추가</t>
        </is>
      </c>
      <c r="C19" s="10" t="inlineStr">
        <is>
          <t>(없음)</t>
        </is>
      </c>
      <c r="D19" s="10" t="inlineStr">
        <is>
          <t>doc_type varchar(20) · NOT NULL — v1.0 · prescription(처방전) / pill_bag(약봉투). 약봉투는 질병코드 없음 → RG-05-E1
사유: O-2 · REQ-025 — 약봉투는 질병코드 없음</t>
        </is>
      </c>
      <c r="E19" s="10" t="n"/>
    </row>
    <row r="20" hidden="1" outlineLevel="1" ht="28" customHeight="1">
      <c r="A20" s="10" t="n"/>
      <c r="B20" s="10" t="inlineStr">
        <is>
          <t>prescriptions / ocr_raw_text — 설명 변경</t>
        </is>
      </c>
      <c r="C20" s="10" t="inlineStr">
        <is>
          <t>ocr_raw_text text — OCR 원문 (원본 이미지는 저장하지 않음)</t>
        </is>
      </c>
      <c r="D20" s="10" t="inlineStr">
        <is>
          <t>ocr_raw_text text — OCR 원문 (원본 이미지는 저장하지 않음) · 암호화</t>
        </is>
      </c>
      <c r="E20" s="10" t="n"/>
    </row>
    <row r="21" hidden="1" outlineLevel="1" ht="42" customHeight="1">
      <c r="A21" s="10" t="n"/>
      <c r="B21" s="10" t="inlineStr">
        <is>
          <t>prescriptions / quality_flag — 필드 추가</t>
        </is>
      </c>
      <c r="C21" s="10" t="inlineStr">
        <is>
          <t>(없음)</t>
        </is>
      </c>
      <c r="D21" s="10" t="inlineStr">
        <is>
          <t>quality_flag varchar(20) — v1.0 · ok / low (OC-01-E1에서 "그래도 계속 진행" 시)
사유: OC-01-E1 "그래도 계속 진행"</t>
        </is>
      </c>
      <c r="E21" s="10" t="n"/>
    </row>
    <row r="22" hidden="1" outlineLevel="1" ht="28" customHeight="1">
      <c r="A22" s="10" t="n"/>
      <c r="B22" s="10" t="inlineStr">
        <is>
          <t>prescriptions (처방전 · 약봉투) / 테이블 설명</t>
        </is>
      </c>
      <c r="C22" s="10" t="inlineStr">
        <is>
          <t>업로드된 원본 이미지는 OCR 처리 후 즉시 폐기. 추출 텍스트만 암호화 저장</t>
        </is>
      </c>
      <c r="D22" s="10" t="inlineStr">
        <is>
          <t>사진 1장 = 1행. 업로드된 원본 이미지는 OCR 처리 후 즉시 폐기</t>
        </is>
      </c>
      <c r="E22" s="10" t="n"/>
    </row>
    <row r="23" hidden="1" outlineLevel="1" ht="56" customHeight="1">
      <c r="A23" s="10" t="n"/>
      <c r="B23" s="10" t="inlineStr">
        <is>
          <t>prescription_diseases (처방전 질병코드) — 테이블 신규</t>
        </is>
      </c>
      <c r="C23" s="10" t="inlineStr">
        <is>
          <t>(없음)</t>
        </is>
      </c>
      <c r="D23" s="10" t="inlineStr">
        <is>
          <t>필드 3개: prescription_id, disease_code, is_main
v1.0 신규 · 처방전 질병분류기호는 주상병 + 부상병 여러 개
사유: O-2 · REQ-022</t>
        </is>
      </c>
      <c r="E23" s="10" t="n"/>
    </row>
    <row r="24" hidden="1" outlineLevel="1" ht="28" customHeight="1">
      <c r="A24" s="10" t="n"/>
      <c r="B24" s="10" t="inlineStr">
        <is>
          <t>prescription_items / edi_code — 설명 변경</t>
        </is>
      </c>
      <c r="C24" s="10" t="inlineStr">
        <is>
          <t>edi_code varchar(9) · FK · → drug_products.edi_code — 매칭 실패 시 null</t>
        </is>
      </c>
      <c r="D24" s="10" t="inlineStr">
        <is>
          <t>edi_code varchar(9) · FK · → drug_products.edi_code — 매칭 실패 · 제외 시 null</t>
        </is>
      </c>
      <c r="E24" s="10" t="n"/>
    </row>
    <row r="25" hidden="1" outlineLevel="1" ht="28" customHeight="1">
      <c r="A25" s="10" t="n"/>
      <c r="B25" s="10" t="inlineStr">
        <is>
          <t>prescription_items / match_score — 설명 변경</t>
        </is>
      </c>
      <c r="C25" s="10" t="inlineStr">
        <is>
          <t>match_score decimal(5,4) — 매칭 신뢰도. 낮으면 사용자 확인 UI로</t>
        </is>
      </c>
      <c r="D25" s="10" t="inlineStr">
        <is>
          <t>match_score decimal(5,4)</t>
        </is>
      </c>
      <c r="E25" s="10" t="n"/>
    </row>
    <row r="26" hidden="1" outlineLevel="1" ht="56" customHeight="1">
      <c r="A26" s="10" t="n"/>
      <c r="B26" s="10" t="inlineStr">
        <is>
          <t>prescription_items / match_status — 정의 변경</t>
        </is>
      </c>
      <c r="C26" s="10" t="inlineStr">
        <is>
          <t>match_status varchar(20) — auto / user_confirmed / unmatched</t>
        </is>
      </c>
      <c r="D26" s="10" t="inlineStr">
        <is>
          <t>match_status varchar(20) · NOT NULL — v1.0 · auto / needs_confirm / user_confirmed / unmatched / excluded(빼고 진행)
사유: O-3 · REQ-031~033 — 확인 전 분석 시작 막기 · 점검 제외 약 표시</t>
        </is>
      </c>
      <c r="E26" s="10" t="n"/>
    </row>
    <row r="27" hidden="1" outlineLevel="1" ht="28" customHeight="1">
      <c r="A27" s="10" t="n"/>
      <c r="B27" s="10" t="inlineStr">
        <is>
          <t>prescription_items / dose_per_time — 설명 변경</t>
        </is>
      </c>
      <c r="C27" s="10" t="inlineStr">
        <is>
          <t>dose_per_time decimal(10,3) — 1회 투여량</t>
        </is>
      </c>
      <c r="D27" s="10" t="inlineStr">
        <is>
          <t>dose_per_time decimal(10,3)</t>
        </is>
      </c>
      <c r="E27" s="10" t="n"/>
    </row>
    <row r="28" hidden="1" outlineLevel="1" ht="28" customHeight="1">
      <c r="A28" s="10" t="n"/>
      <c r="B28" s="10" t="inlineStr">
        <is>
          <t>prescription_items / times_per_day — 설명 변경</t>
        </is>
      </c>
      <c r="C28" s="10" t="inlineStr">
        <is>
          <t>times_per_day smallint — 1일 투여 횟수</t>
        </is>
      </c>
      <c r="D28" s="10" t="inlineStr">
        <is>
          <t>times_per_day smallint</t>
        </is>
      </c>
      <c r="E28" s="10" t="n"/>
    </row>
    <row r="29" hidden="1" outlineLevel="1" ht="28" customHeight="1">
      <c r="A29" s="10" t="n"/>
      <c r="B29" s="10" t="inlineStr">
        <is>
          <t>prescription_items / total_days — 설명 변경</t>
        </is>
      </c>
      <c r="C29" s="10" t="inlineStr">
        <is>
          <t>total_days smallint — 총 투약일수</t>
        </is>
      </c>
      <c r="D29" s="10" t="inlineStr">
        <is>
          <t>total_days smallint</t>
        </is>
      </c>
      <c r="E29" s="10" t="n"/>
    </row>
    <row r="30" hidden="1" outlineLevel="1" ht="28" customHeight="1">
      <c r="A30" s="10" t="n"/>
      <c r="B30" s="10" t="inlineStr">
        <is>
          <t>prescription_items / timing — 설명 변경</t>
        </is>
      </c>
      <c r="C30" s="10" t="inlineStr">
        <is>
          <t>timing varchar(50) — 식후30분 등</t>
        </is>
      </c>
      <c r="D30" s="10" t="inlineStr">
        <is>
          <t>timing varchar(50) — 아침 식후 등</t>
        </is>
      </c>
      <c r="E30" s="10" t="n"/>
    </row>
    <row r="31" hidden="1" outlineLevel="1" ht="28" customHeight="1">
      <c r="A31" s="10" t="n"/>
      <c r="B31" s="10" t="inlineStr">
        <is>
          <t>prescription_items (처방 약품) / 테이블 설명</t>
        </is>
      </c>
      <c r="C31" s="10" t="inlineStr">
        <is>
          <t>용법·용량은 OCR 후 LLM으로 구조화. 1일 총량 = dose_per_time * times_per_day</t>
        </is>
      </c>
      <c r="D31" s="10" t="inlineStr">
        <is>
          <t>needs_confirm · unmatched가 남아 있으면 분석 시작 불가 (REQ-033). 1일 총량 = dose_per_time * times_per_day</t>
        </is>
      </c>
      <c r="E31" s="10" t="n"/>
    </row>
    <row r="32" hidden="1" outlineLevel="1" ht="70" customHeight="1">
      <c r="A32" s="10" t="n"/>
      <c r="B32" s="10" t="inlineStr">
        <is>
          <t>prescription_item_candidates (약품 매칭 후보) — 테이블 신규</t>
        </is>
      </c>
      <c r="C32" s="10" t="inlineStr">
        <is>
          <t>(없음)</t>
        </is>
      </c>
      <c r="D32" s="10" t="inlineStr">
        <is>
          <t>필드 4개: item_id, rank, edi_code, score
v1.0 신규 🟡 채연 확인 · OC-02 후보 목록. 매칭 정확도(1순위 적중률 · 5순위 내 포함률) 측정에 필요
사유: O-3 · REQ-031 [채연 확인 필요]</t>
        </is>
      </c>
      <c r="E32" s="10" t="n"/>
    </row>
    <row r="33" hidden="1" outlineLevel="1" ht="28" customHeight="1">
      <c r="A33" s="10" t="n"/>
      <c r="B33" s="10" t="inlineStr">
        <is>
          <t>health_checkups (건강검진 (보류)) / 테이블 설명</t>
        </is>
      </c>
      <c r="C33" s="10" t="inlineStr">
        <is>
          <t>국가건강검진 결과통보서. 전국 통일 서식이라 OCR 난이도가 낮음</t>
        </is>
      </c>
      <c r="D33" s="10" t="inlineStr">
        <is>
          <t>보류 (REQ-015 · 멘토링 확인 후 결정)
사유: REQ-015 보류</t>
        </is>
      </c>
      <c r="E33" s="10" t="n"/>
    </row>
    <row r="34" hidden="1" outlineLevel="1" ht="28" customHeight="1">
      <c r="A34" s="10" t="n"/>
      <c r="B34" s="10" t="inlineStr">
        <is>
          <t>checkup_results / item_code — 설명 변경</t>
        </is>
      </c>
      <c r="C34" s="10" t="inlineStr">
        <is>
          <t>item_code varchar(8) · FK · → checkup_items.code — 공단 건강검진검사항목코드</t>
        </is>
      </c>
      <c r="D34" s="10" t="inlineStr">
        <is>
          <t>item_code varchar(8) · FK · → checkup_items.code</t>
        </is>
      </c>
      <c r="E34" s="10" t="n"/>
    </row>
    <row r="35" hidden="1" outlineLevel="1" ht="28" customHeight="1">
      <c r="A35" s="10" t="n"/>
      <c r="B35" s="10" t="inlineStr">
        <is>
          <t>checkup_results / value_num — 설명 변경</t>
        </is>
      </c>
      <c r="C35" s="10" t="inlineStr">
        <is>
          <t>value_num decimal(12,3) — 수치형 결과</t>
        </is>
      </c>
      <c r="D35" s="10" t="inlineStr">
        <is>
          <t>value_num decimal(12,3)</t>
        </is>
      </c>
      <c r="E35" s="10" t="n"/>
    </row>
    <row r="36" hidden="1" outlineLevel="1" ht="28" customHeight="1">
      <c r="A36" s="10" t="n"/>
      <c r="B36" s="10" t="inlineStr">
        <is>
          <t>checkup_results / value_text — 설명 변경</t>
        </is>
      </c>
      <c r="C36" s="10" t="inlineStr">
        <is>
          <t>value_text varchar(200) — 판정형 결과 (정상/의심/유질환 등)</t>
        </is>
      </c>
      <c r="D36" s="10" t="inlineStr">
        <is>
          <t>value_text varchar(200)</t>
        </is>
      </c>
      <c r="E36" s="10" t="n"/>
    </row>
    <row r="37" hidden="1" outlineLevel="1" ht="28" customHeight="1">
      <c r="A37" s="10" t="n"/>
      <c r="B37" s="10" t="inlineStr">
        <is>
          <t>checkup_results (건강검진 결과 (보류)) / 테이블 설명</t>
        </is>
      </c>
      <c r="C37" s="10" t="inlineStr">
        <is>
          <t>공단이 내린 종합판정(A1112xxx)을 그대로 저장해 인용. 자체 진단하지 않음</t>
        </is>
      </c>
      <c r="D37" s="10" t="inlineStr">
        <is>
          <t>보류 (REQ-015)
사유: REQ-015 보류</t>
        </is>
      </c>
      <c r="E37" s="10" t="n"/>
    </row>
    <row r="38" hidden="1" outlineLevel="1" ht="28" customHeight="1">
      <c r="A38" s="10" t="n"/>
      <c r="B38" s="10" t="inlineStr">
        <is>
          <t>analyses / job_id — 삭제</t>
        </is>
      </c>
      <c r="C38" s="10" t="inlineStr">
        <is>
          <t>job_id uuid · UQ · NOT NULL — 클라이언트 폴링용</t>
        </is>
      </c>
      <c r="D38" s="10" t="inlineStr">
        <is>
          <t>삭제
사유: job_id 대신 id로 폴링</t>
        </is>
      </c>
      <c r="E38" s="10" t="n"/>
    </row>
    <row r="39" hidden="1" outlineLevel="1" ht="42" customHeight="1">
      <c r="A39" s="10" t="n"/>
      <c r="B39" s="10" t="inlineStr">
        <is>
          <t>analyses / prescription_id — 삭제</t>
        </is>
      </c>
      <c r="C39" s="10" t="inlineStr">
        <is>
          <t>prescription_id bigint · FK · → prescriptions.id</t>
        </is>
      </c>
      <c r="D39" s="10" t="inlineStr">
        <is>
          <t>삭제
사유: R-1 · REQ-013 — 여러 처방전 한 번에 점검 → analysis_prescriptions (1:N)</t>
        </is>
      </c>
      <c r="E39" s="10" t="n"/>
    </row>
    <row r="40" hidden="1" outlineLevel="1" ht="28" customHeight="1">
      <c r="A40" s="10" t="n"/>
      <c r="B40" s="10" t="inlineStr">
        <is>
          <t>analyses / checkup_id — 삭제</t>
        </is>
      </c>
      <c r="C40" s="10" t="inlineStr">
        <is>
          <t>checkup_id bigint · FK · → health_checkups.id</t>
        </is>
      </c>
      <c r="D40" s="10" t="inlineStr">
        <is>
          <t>삭제
사유: 건강검진 보류 (REQ-015)</t>
        </is>
      </c>
      <c r="E40" s="10" t="n"/>
    </row>
    <row r="41" hidden="1" outlineLevel="1" ht="28" customHeight="1">
      <c r="A41" s="10" t="n"/>
      <c r="B41" s="10" t="inlineStr">
        <is>
          <t>analyses / error_message — 삭제</t>
        </is>
      </c>
      <c r="C41" s="10" t="inlineStr">
        <is>
          <t>error_message varchar(500)</t>
        </is>
      </c>
      <c r="D41" s="10" t="inlineStr">
        <is>
          <t>삭제
사유: R-2 — 화면 문구는 프론트에서, 서버는 코드만</t>
        </is>
      </c>
      <c r="E41" s="10" t="n"/>
    </row>
    <row r="42" hidden="1" outlineLevel="1" ht="42" customHeight="1">
      <c r="A42" s="10" t="n"/>
      <c r="B42" s="10" t="inlineStr">
        <is>
          <t>analyses / status — 설명 변경</t>
        </is>
      </c>
      <c r="C42" s="10" t="inlineStr">
        <is>
          <t>status varchar(20) · NOT NULL — queued / ocr / searching / generating / done / failed</t>
        </is>
      </c>
      <c r="D42" s="10" t="inlineStr">
        <is>
          <t>status varchar(20) · NOT NULL — v1.0 · queued / running / done / failed
사유: R-2 — 단계는 current_step으로 분리</t>
        </is>
      </c>
      <c r="E42" s="10" t="n"/>
    </row>
    <row r="43" hidden="1" outlineLevel="1" ht="56" customHeight="1">
      <c r="A43" s="10" t="n"/>
      <c r="B43" s="10" t="inlineStr">
        <is>
          <t>analyses / current_step — 필드 추가</t>
        </is>
      </c>
      <c r="C43" s="10" t="inlineStr">
        <is>
          <t>(없음)</t>
        </is>
      </c>
      <c r="D43" s="10" t="inlineStr">
        <is>
          <t>current_step varchar(30) — v1.0 · drug_info / safety_check / guide_generation (RG-01 진행 단계)
사유: R-2 · RG-01 진행 단계 표시</t>
        </is>
      </c>
      <c r="E43" s="10" t="n"/>
    </row>
    <row r="44" hidden="1" outlineLevel="1" ht="42" customHeight="1">
      <c r="A44" s="10" t="n"/>
      <c r="B44" s="10" t="inlineStr">
        <is>
          <t>analyses / failed_step — 필드 추가</t>
        </is>
      </c>
      <c r="C44" s="10" t="inlineStr">
        <is>
          <t>(없음)</t>
        </is>
      </c>
      <c r="D44" s="10" t="inlineStr">
        <is>
          <t>failed_step varchar(30) — v1.0 · 실패한 단계 (RG-01-E1)
사유: R-2 · R-3 · REQ-055 · 056</t>
        </is>
      </c>
      <c r="E44" s="10" t="n"/>
    </row>
    <row r="45" hidden="1" outlineLevel="1" ht="28" customHeight="1">
      <c r="A45" s="10" t="n"/>
      <c r="B45" s="10" t="inlineStr">
        <is>
          <t>analyses / error_code — 필드 추가</t>
        </is>
      </c>
      <c r="C45" s="10" t="inlineStr">
        <is>
          <t>(없음)</t>
        </is>
      </c>
      <c r="D45" s="10" t="inlineStr">
        <is>
          <t>error_code varchar(50) — GUIDE_GENERATION_FAILED / SAFETY_CHECK_FAILED / TIMEOUT</t>
        </is>
      </c>
      <c r="E45" s="10" t="n"/>
    </row>
    <row r="46" hidden="1" outlineLevel="1" ht="42" customHeight="1">
      <c r="A46" s="10" t="n"/>
      <c r="B46" s="10" t="inlineStr">
        <is>
          <t>analyses / retry_count — 필드 추가</t>
        </is>
      </c>
      <c r="C46" s="10" t="inlineStr">
        <is>
          <t>(없음)</t>
        </is>
      </c>
      <c r="D46" s="10" t="inlineStr">
        <is>
          <t>retry_count smallint · 기본값 0 — v1.0 · 3회 초과 시 재시도 막음 (REQ-055)
사유: R-3 · REQ-055</t>
        </is>
      </c>
      <c r="E46" s="10" t="n"/>
    </row>
    <row r="47" hidden="1" outlineLevel="1" ht="28" customHeight="1">
      <c r="A47" s="10" t="n"/>
      <c r="B47" s="10" t="inlineStr">
        <is>
          <t>analyses / user_birth_year — 필드 추가</t>
        </is>
      </c>
      <c r="C47" s="10" t="inlineStr">
        <is>
          <t>(없음)</t>
        </is>
      </c>
      <c r="D47" s="10" t="inlineStr">
        <is>
          <t>user_birth_year smallint — 분석 시점 출생연도 스냅샷 — 정보 수정해도 지난 결과는 그대로 (CM-06)</t>
        </is>
      </c>
      <c r="E47" s="10" t="n"/>
    </row>
    <row r="48" hidden="1" outlineLevel="1" ht="28" customHeight="1">
      <c r="A48" s="10" t="n"/>
      <c r="B48" s="10" t="inlineStr">
        <is>
          <t>analyses / created_at — 필드 추가</t>
        </is>
      </c>
      <c r="C48" s="10" t="inlineStr">
        <is>
          <t>(없음)</t>
        </is>
      </c>
      <c r="D48" s="10" t="inlineStr">
        <is>
          <t>created_at timestamp · 기본값 now()</t>
        </is>
      </c>
      <c r="E48" s="10" t="n"/>
    </row>
    <row r="49" hidden="1" outlineLevel="1" ht="28" customHeight="1">
      <c r="A49" s="10" t="n"/>
      <c r="B49" s="10" t="inlineStr">
        <is>
          <t>analyses (분석 작업) / 테이블 설명</t>
        </is>
      </c>
      <c r="C49" s="10" t="inlineStr">
        <is>
          <t>안내문 생성은 수십 초 소요 → 비동기 작업으로 분리</t>
        </is>
      </c>
      <c r="D49" s="10" t="inlineStr">
        <is>
          <t>v1.0 · prescription_id 칸 삭제 → analysis_prescriptions로 1:N. job_id 대신 id로 폴링</t>
        </is>
      </c>
      <c r="E49" s="10" t="n"/>
    </row>
    <row r="50" hidden="1" outlineLevel="1" ht="56" customHeight="1">
      <c r="A50" s="10" t="n"/>
      <c r="B50" s="10" t="inlineStr">
        <is>
          <t>analysis_prescriptions (분석-처방전 연결) — 테이블 신규</t>
        </is>
      </c>
      <c r="C50" s="10" t="inlineStr">
        <is>
          <t>(없음)</t>
        </is>
      </c>
      <c r="D50" s="10" t="inlineStr">
        <is>
          <t>필드 2개: analysis_id, prescription_id
v1.0 신규 · 여러 병원 처방전을 한 번에 점검 (최대 5장, REQ-013)
사유: R-1 · REQ-013</t>
        </is>
      </c>
      <c r="E50" s="10" t="n"/>
    </row>
    <row r="51" hidden="1" outlineLevel="1" ht="56" customHeight="1">
      <c r="A51" s="10" t="n"/>
      <c r="B51" s="10" t="inlineStr">
        <is>
          <t>analysis_diseases (분석 질환) — 테이블 신규</t>
        </is>
      </c>
      <c r="C51" s="10" t="inlineStr">
        <is>
          <t>(없음)</t>
        </is>
      </c>
      <c r="D51" s="10" t="inlineStr">
        <is>
          <t>필드 3개: analysis_id, disease_code, origin
v1.0 신규 · 생활습관 가이드 조회 기준
사유: R-6 · REQ-063</t>
        </is>
      </c>
      <c r="E51" s="10" t="n"/>
    </row>
    <row r="52" hidden="1" outlineLevel="1" ht="28" customHeight="1">
      <c r="A52" s="10" t="n"/>
      <c r="B52" s="10" t="inlineStr">
        <is>
          <t>analysis_warnings / subject_a — 삭제</t>
        </is>
      </c>
      <c r="C52" s="10" t="inlineStr">
        <is>
          <t>subject_a varchar(300) — 대상 약품명</t>
        </is>
      </c>
      <c r="D52" s="10" t="inlineStr">
        <is>
          <t>삭제
사유: 약 이름 대신 항목 참조 (처방 병원 표시용) → item_id_a</t>
        </is>
      </c>
      <c r="E52" s="10" t="n"/>
    </row>
    <row r="53" hidden="1" outlineLevel="1" ht="28" customHeight="1">
      <c r="A53" s="10" t="n"/>
      <c r="B53" s="10" t="inlineStr">
        <is>
          <t>analysis_warnings / subject_b — 삭제</t>
        </is>
      </c>
      <c r="C53" s="10" t="inlineStr">
        <is>
          <t>subject_b varchar(300) — 상대 약품명 (병용금기 등)</t>
        </is>
      </c>
      <c r="D53" s="10" t="inlineStr">
        <is>
          <t>삭제
사유: → item_id_b</t>
        </is>
      </c>
      <c r="E53" s="10" t="n"/>
    </row>
    <row r="54" hidden="1" outlineLevel="1" ht="70" customHeight="1">
      <c r="A54" s="10" t="n"/>
      <c r="B54" s="10" t="inlineStr">
        <is>
          <t>analysis_warnings / warning_type — 설명 변경</t>
        </is>
      </c>
      <c r="C54" s="10" t="inlineStr">
        <is>
          <t>warning_type varchar(30) · NOT NULL — interaction / duplicate_ingredient / duplicate_efficacy / elderly / age / pregnancy / dose_exceed</t>
        </is>
      </c>
      <c r="D54" s="10" t="inlineStr">
        <is>
          <t>warning_type varchar(30) · NOT NULL — interaction / duplicate_ingredient / duplicate_efficacy / elderly / age / pregnancy / dose_exceed / polypharmacy(v1.0 🟡)
사유: REQ-049 [팀 확인 필요]</t>
        </is>
      </c>
      <c r="E54" s="10" t="n"/>
    </row>
    <row r="55" hidden="1" outlineLevel="1" ht="28" customHeight="1">
      <c r="A55" s="10" t="n"/>
      <c r="B55" s="10" t="inlineStr">
        <is>
          <t>analysis_warnings / severity — 정의 변경</t>
        </is>
      </c>
      <c r="C55" s="10" t="inlineStr">
        <is>
          <t>severity varchar(10) — danger / caution / info</t>
        </is>
      </c>
      <c r="D55" s="10" t="inlineStr">
        <is>
          <t>severity varchar(10) · NOT NULL — danger / caution / info</t>
        </is>
      </c>
      <c r="E55" s="10" t="n"/>
    </row>
    <row r="56" hidden="1" outlineLevel="1" ht="28" customHeight="1">
      <c r="A56" s="10" t="n"/>
      <c r="B56" s="10" t="inlineStr">
        <is>
          <t>analysis_warnings / item_id_a — 필드 추가</t>
        </is>
      </c>
      <c r="C56" s="10" t="inlineStr">
        <is>
          <t>(없음)</t>
        </is>
      </c>
      <c r="D56" s="10" t="inlineStr">
        <is>
          <t>item_id_a bigint · FK · → prescription_items.id — v1.0 · 약 이름 대신 항목 참조 (처방 병원 표시용)</t>
        </is>
      </c>
      <c r="E56" s="10" t="n"/>
    </row>
    <row r="57" hidden="1" outlineLevel="1" ht="28" customHeight="1">
      <c r="A57" s="10" t="n"/>
      <c r="B57" s="10" t="inlineStr">
        <is>
          <t>analysis_warnings / item_id_b — 필드 추가</t>
        </is>
      </c>
      <c r="C57" s="10" t="inlineStr">
        <is>
          <t>(없음)</t>
        </is>
      </c>
      <c r="D57" s="10" t="inlineStr">
        <is>
          <t>item_id_b bigint · FK · → prescription_items.id — 상대 약 (병용금기 · 중복)</t>
        </is>
      </c>
      <c r="E57" s="10" t="n"/>
    </row>
    <row r="58" hidden="1" outlineLevel="1" ht="28" customHeight="1">
      <c r="A58" s="10" t="n"/>
      <c r="B58" s="10" t="inlineStr">
        <is>
          <t>analysis_warnings / reason — 설명 변경</t>
        </is>
      </c>
      <c r="C58" s="10" t="inlineStr">
        <is>
          <t>reason text — 금기 사유 원문</t>
        </is>
      </c>
      <c r="D58" s="10" t="inlineStr">
        <is>
          <t>reason text — DUR 금기 사유 원문</t>
        </is>
      </c>
      <c r="E58" s="10" t="n"/>
    </row>
    <row r="59" hidden="1" outlineLevel="1" ht="42" customHeight="1">
      <c r="A59" s="10" t="n"/>
      <c r="B59" s="10" t="inlineStr">
        <is>
          <t>analysis_warnings / summary — 필드 추가</t>
        </is>
      </c>
      <c r="C59" s="10" t="inlineStr">
        <is>
          <t>(없음)</t>
        </is>
      </c>
      <c r="D59" s="10" t="inlineStr">
        <is>
          <t>summary text — v1.0 · 화면 표시 문장 (템플릿, AI 생성 아님 · NFR-032)
사유: NFR-032 — 템플릿 문장, AI 생성 아님</t>
        </is>
      </c>
      <c r="E59" s="10" t="n"/>
    </row>
    <row r="60" hidden="1" outlineLevel="1" ht="28" customHeight="1">
      <c r="A60" s="10" t="n"/>
      <c r="B60" s="10" t="inlineStr">
        <is>
          <t>analysis_warnings / source — 설명 변경</t>
        </is>
      </c>
      <c r="C60" s="10" t="inlineStr">
        <is>
          <t>source varchar(100) — 식약처 고시 YYYY-MM-DD 등 출처</t>
        </is>
      </c>
      <c r="D60" s="10" t="inlineStr">
        <is>
          <t>source varchar(100) — 식약처 고시명</t>
        </is>
      </c>
      <c r="E60" s="10" t="n"/>
    </row>
    <row r="61" hidden="1" outlineLevel="1" ht="28" customHeight="1">
      <c r="A61" s="10" t="n"/>
      <c r="B61" s="10" t="inlineStr">
        <is>
          <t>analysis_warnings / notice_date — 필드 추가</t>
        </is>
      </c>
      <c r="C61" s="10" t="inlineStr">
        <is>
          <t>(없음)</t>
        </is>
      </c>
      <c r="D61" s="10" t="inlineStr">
        <is>
          <t>notice_date date</t>
        </is>
      </c>
      <c r="E61" s="10" t="n"/>
    </row>
    <row r="62" hidden="1" outlineLevel="1" ht="28" customHeight="1">
      <c r="A62" s="10" t="n"/>
      <c r="B62" s="10" t="inlineStr">
        <is>
          <t>analysis_warnings / daily_total — 필드 추가</t>
        </is>
      </c>
      <c r="C62" s="10" t="inlineStr">
        <is>
          <t>(없음)</t>
        </is>
      </c>
      <c r="D62" s="10" t="inlineStr">
        <is>
          <t>daily_total decimal(12,3) — 1일 최대용량 초과일 때만</t>
        </is>
      </c>
      <c r="E62" s="10" t="n"/>
    </row>
    <row r="63" hidden="1" outlineLevel="1" ht="28" customHeight="1">
      <c r="A63" s="10" t="n"/>
      <c r="B63" s="10" t="inlineStr">
        <is>
          <t>analysis_warnings / max_daily — 필드 추가</t>
        </is>
      </c>
      <c r="C63" s="10" t="inlineStr">
        <is>
          <t>(없음)</t>
        </is>
      </c>
      <c r="D63" s="10" t="inlineStr">
        <is>
          <t>max_daily decimal(12,3)</t>
        </is>
      </c>
      <c r="E63" s="10" t="n"/>
    </row>
    <row r="64" hidden="1" outlineLevel="1" ht="28" customHeight="1">
      <c r="A64" s="10" t="n"/>
      <c r="B64" s="10" t="inlineStr">
        <is>
          <t>analysis_warnings (안전성 경고) / 테이블 설명</t>
        </is>
      </c>
      <c r="C64" s="10" t="inlineStr">
        <is>
          <t>DB 조회로 결정적으로 산출. LLM이 생성하지 않음 → 환각 불가</t>
        </is>
      </c>
      <c r="D64" s="10" t="inlineStr">
        <is>
          <t>DB 조회로 결정적으로 산출. 0건이면 RG-02-E1</t>
        </is>
      </c>
      <c r="E64" s="10" t="n"/>
    </row>
    <row r="65" hidden="1" outlineLevel="1" ht="28" customHeight="1">
      <c r="A65" s="10" t="n"/>
      <c r="B65" s="10" t="inlineStr">
        <is>
          <t>guides / section — 설명 변경</t>
        </is>
      </c>
      <c r="C65" s="10" t="inlineStr">
        <is>
          <t>section varchar(30) — medication / lifestyle / summary</t>
        </is>
      </c>
      <c r="D65" s="10" t="inlineStr">
        <is>
          <t>section varchar(30) — medication / lifestyle</t>
        </is>
      </c>
      <c r="E65" s="10" t="n"/>
    </row>
    <row r="66" hidden="1" outlineLevel="1" ht="56" customHeight="1">
      <c r="A66" s="10" t="n"/>
      <c r="B66" s="10" t="inlineStr">
        <is>
          <t>guides / status — 필드 추가</t>
        </is>
      </c>
      <c r="C66" s="10" t="inlineStr">
        <is>
          <t>(없음)</t>
        </is>
      </c>
      <c r="D66" s="10" t="inlineStr">
        <is>
          <t>status varchar(20) — v1.0 · done / failed (부분 결과 RG-01-E1 → RG-04 · RG-05 "만들지 못했어요")
사유: REQ-056 부분 결과 [팀 확인 필요]</t>
        </is>
      </c>
      <c r="E66" s="10" t="n"/>
    </row>
    <row r="67" hidden="1" outlineLevel="1" ht="56" customHeight="1">
      <c r="A67" s="10" t="n"/>
      <c r="B67" s="10" t="inlineStr">
        <is>
          <t>guides / content — 정의 변경</t>
        </is>
      </c>
      <c r="C67" s="10" t="inlineStr">
        <is>
          <t>content text</t>
        </is>
      </c>
      <c r="D67" s="10" t="inlineStr">
        <is>
          <t>content jsonb — v1.0 · 항목 고정 JSON (약별 purpose · howToTake · caution · source) — 결과 일관성 NFR-030
사유: NFR-030 결과 일관성 — 항목 고정 JSON</t>
        </is>
      </c>
      <c r="E67" s="10" t="n"/>
    </row>
    <row r="68" hidden="1" outlineLevel="1" ht="28" customHeight="1">
      <c r="A68" s="10" t="n"/>
      <c r="B68" s="10" t="inlineStr">
        <is>
          <t>guides / prompt_ver — 설명 변경</t>
        </is>
      </c>
      <c r="C68" s="10" t="inlineStr">
        <is>
          <t>prompt_ver varchar(20) — 프롬프트 버전 — 실험 추적용</t>
        </is>
      </c>
      <c r="D68" s="10" t="inlineStr">
        <is>
          <t>prompt_ver varchar(20)</t>
        </is>
      </c>
      <c r="E68" s="10" t="n"/>
    </row>
    <row r="69" hidden="1" outlineLevel="1" ht="28" customHeight="1">
      <c r="A69" s="10" t="n"/>
      <c r="B69" s="10" t="inlineStr">
        <is>
          <t>guides / model_name — 설명 변경</t>
        </is>
      </c>
      <c r="C69" s="10" t="inlineStr">
        <is>
          <t>model_name varchar(50) — gpt-4o-mini / gpt-4o</t>
        </is>
      </c>
      <c r="D69" s="10" t="inlineStr">
        <is>
          <t>model_name varchar(50)</t>
        </is>
      </c>
      <c r="E69" s="10" t="n"/>
    </row>
    <row r="70" hidden="1" outlineLevel="1" ht="28" customHeight="1">
      <c r="A70" s="10" t="n"/>
      <c r="B70" s="10" t="inlineStr">
        <is>
          <t>guides / tts_url — 설명 변경</t>
        </is>
      </c>
      <c r="C70" s="10" t="inlineStr">
        <is>
          <t>tts_url varchar(500) — 음성 변환 결과 (선택 구현)</t>
        </is>
      </c>
      <c r="D70" s="10" t="inlineStr">
        <is>
          <t>tts_url varchar(500) — 선택 구현 (REQ-100)</t>
        </is>
      </c>
      <c r="E70" s="10" t="n"/>
    </row>
    <row r="71" hidden="1" outlineLevel="1" ht="28" customHeight="1">
      <c r="A71" s="10" t="n"/>
      <c r="B71" s="10" t="inlineStr">
        <is>
          <t>guides (복약 · 생활습관 안내문) / 테이블 설명</t>
        </is>
      </c>
      <c r="C71" s="10" t="inlineStr">
        <is>
          <t>prompt_ver + model_name 기록 → 평가항목 3-1(성능 검증), 3-3(결과 편차)</t>
        </is>
      </c>
      <c r="D71" s="10" t="inlineStr">
        <is>
          <t>(삭제)</t>
        </is>
      </c>
      <c r="E71" s="10" t="n"/>
    </row>
    <row r="72" hidden="1" outlineLevel="1" ht="28" customHeight="1">
      <c r="A72" s="10" t="n"/>
      <c r="B72" s="10" t="inlineStr">
        <is>
          <t>feedbacks / rating — 설명 변경</t>
        </is>
      </c>
      <c r="C72" s="10" t="inlineStr">
        <is>
          <t>rating smallint — 1 = 도움됨 / -1 = 도움 안 됨</t>
        </is>
      </c>
      <c r="D72" s="10" t="inlineStr">
        <is>
          <t>rating smallint — 1 = 도움됐어요 / -1 = 도움 안 됐어요</t>
        </is>
      </c>
      <c r="E72" s="10" t="n"/>
    </row>
    <row r="73" hidden="1" outlineLevel="1" ht="28" customHeight="1">
      <c r="A73" s="10" t="n"/>
      <c r="B73" s="10" t="inlineStr">
        <is>
          <t>feedbacks (안내문 피드백) / 테이블 설명</t>
        </is>
      </c>
      <c r="C73" s="10" t="inlineStr">
        <is>
          <t>평가항목 3-4 (사용자 피드백 수집 → 저장 → 개선 구조)</t>
        </is>
      </c>
      <c r="D73" s="10" t="inlineStr">
        <is>
          <t>(삭제)</t>
        </is>
      </c>
      <c r="E73" s="10" t="n"/>
    </row>
    <row r="74" hidden="1" outlineLevel="1" ht="28" customHeight="1">
      <c r="A74" s="10" t="n"/>
      <c r="B74" s="10" t="inlineStr">
        <is>
          <t>chat_sessions / analysis_id — 설명 변경</t>
        </is>
      </c>
      <c r="C74" s="10" t="inlineStr">
        <is>
          <t>analysis_id bigint · FK · → analyses.id — 어떤 분석 결과에 대한 대화인지</t>
        </is>
      </c>
      <c r="D74" s="10" t="inlineStr">
        <is>
          <t>analysis_id bigint · FK · → analyses.id — null이면 일반 질문 모드 (분석 전)</t>
        </is>
      </c>
      <c r="E74" s="10" t="n"/>
    </row>
    <row r="75" hidden="1" outlineLevel="1" ht="28" customHeight="1">
      <c r="A75" s="10" t="n"/>
      <c r="B75" s="10" t="inlineStr">
        <is>
          <t>chat_sessions / context_type — 필드 추가</t>
        </is>
      </c>
      <c r="C75" s="10" t="inlineStr">
        <is>
          <t>(없음)</t>
        </is>
      </c>
      <c r="D75" s="10" t="inlineStr">
        <is>
          <t>context_type varchar(20) — v1.0 · warning / drug (CB-01-E2에서 무엇을 알고 시작했는지)</t>
        </is>
      </c>
      <c r="E75" s="10" t="n"/>
    </row>
    <row r="76" hidden="1" outlineLevel="1" ht="28" customHeight="1">
      <c r="A76" s="10" t="n"/>
      <c r="B76" s="10" t="inlineStr">
        <is>
          <t>chat_sessions / context_ref — 필드 추가</t>
        </is>
      </c>
      <c r="C76" s="10" t="inlineStr">
        <is>
          <t>(없음)</t>
        </is>
      </c>
      <c r="D76" s="10" t="inlineStr">
        <is>
          <t>context_ref bigint — v1.0 · analysis_warnings.id 또는 prescription_items.id</t>
        </is>
      </c>
      <c r="E76" s="10" t="n"/>
    </row>
    <row r="77" hidden="1" outlineLevel="1" ht="28" customHeight="1">
      <c r="A77" s="10" t="n"/>
      <c r="B77" s="10" t="inlineStr">
        <is>
          <t>chat_sessions / title — 필드 추가</t>
        </is>
      </c>
      <c r="C77" s="10" t="inlineStr">
        <is>
          <t>(없음)</t>
        </is>
      </c>
      <c r="D77" s="10" t="inlineStr">
        <is>
          <t>title varchar(100) — v1.0 🟡 수인 확인 · 대화 제목 자동 생성 · 수정 (CB-03)</t>
        </is>
      </c>
      <c r="E77" s="10" t="n"/>
    </row>
    <row r="78" hidden="1" outlineLevel="1" ht="28" customHeight="1">
      <c r="A78" s="10" t="n"/>
      <c r="B78" s="10" t="inlineStr">
        <is>
          <t>chat_sessions / summary — 필드 추가</t>
        </is>
      </c>
      <c r="C78" s="10" t="inlineStr">
        <is>
          <t>(없음)</t>
        </is>
      </c>
      <c r="D78" s="10" t="inlineStr">
        <is>
          <t>summary text — v1.0 🟡 수인 확인 · 오래된 대화 요약 (맥락 압축)</t>
        </is>
      </c>
      <c r="E78" s="10" t="n"/>
    </row>
    <row r="79" hidden="1" outlineLevel="1" ht="28" customHeight="1">
      <c r="A79" s="10" t="n"/>
      <c r="B79" s="10" t="inlineStr">
        <is>
          <t>chat_sessions / updated_at — 필드 추가</t>
        </is>
      </c>
      <c r="C79" s="10" t="inlineStr">
        <is>
          <t>(없음)</t>
        </is>
      </c>
      <c r="D79" s="10" t="inlineStr">
        <is>
          <t>updated_at timestamp</t>
        </is>
      </c>
      <c r="E79" s="10" t="n"/>
    </row>
    <row r="80" hidden="1" outlineLevel="1" ht="42" customHeight="1">
      <c r="A80" s="10" t="n"/>
      <c r="B80" s="10" t="inlineStr">
        <is>
          <t>chat_sessions (대화) / 테이블 설명</t>
        </is>
      </c>
      <c r="C80" s="10" t="inlineStr">
        <is>
          <t>(없음)</t>
        </is>
      </c>
      <c r="D80" s="10" t="inlineStr">
        <is>
          <t>날짜별 여러 대화 구조로 갈지 팀 확정 필요 (REQ-077)
사유: REQ-075 · 077 [수인 확인 필요]</t>
        </is>
      </c>
      <c r="E80" s="10" t="n"/>
    </row>
    <row r="81" hidden="1" outlineLevel="1" ht="28" customHeight="1">
      <c r="A81" s="10" t="n"/>
      <c r="B81" s="10" t="inlineStr">
        <is>
          <t>chat_messages / answer_type — 필드 추가</t>
        </is>
      </c>
      <c r="C81" s="10" t="inlineStr">
        <is>
          <t>(없음)</t>
        </is>
      </c>
      <c r="D81" s="10" t="inlineStr">
        <is>
          <t>answer_type varchar(20) — v1.0 · answered / refused_medical(의료진 상담 필요) / no_evidence(확인이 어렵습니다)</t>
        </is>
      </c>
      <c r="E81" s="10" t="n"/>
    </row>
    <row r="82" hidden="1" outlineLevel="1" ht="28" customHeight="1">
      <c r="A82" s="10" t="n"/>
      <c r="B82" s="10" t="inlineStr">
        <is>
          <t>chat_messages / sources — 필드 추가</t>
        </is>
      </c>
      <c r="C82" s="10" t="inlineStr">
        <is>
          <t>(없음)</t>
        </is>
      </c>
      <c r="D82" s="10" t="inlineStr">
        <is>
          <t>sources jsonb — v1.0 · 답변 근거 출처</t>
        </is>
      </c>
      <c r="E82" s="10" t="n"/>
    </row>
    <row r="83" hidden="1" outlineLevel="1" ht="28" customHeight="1">
      <c r="A83" s="10" t="n"/>
      <c r="B83" s="10" t="inlineStr">
        <is>
          <t>chat_messages (대화 메시지) / 테이블 설명</t>
        </is>
      </c>
      <c r="C83" s="10" t="inlineStr">
        <is>
          <t>대화 맥락 반영을 위해 최근 N개 메시지를 프롬프트에 포함</t>
        </is>
      </c>
      <c r="D83" s="10" t="inlineStr">
        <is>
          <t>(삭제)</t>
        </is>
      </c>
      <c r="E83" s="10" t="n"/>
    </row>
    <row r="84" hidden="1" outlineLevel="1" ht="84" customHeight="1">
      <c r="A84" s="10" t="n"/>
      <c r="B84" s="10" t="inlineStr">
        <is>
          <t>recommendations (생활습관 추천) — 테이블 신규</t>
        </is>
      </c>
      <c r="C84" s="10" t="inlineStr">
        <is>
          <t>(없음)</t>
        </is>
      </c>
      <c r="D84" s="10" t="inlineStr">
        <is>
          <t>필드 10개: id, analysis_id, guide_id, medication_link_id, title, reason_label, goal_type, target_value, unit, rank
AI 추천만으로는 목표가 되지 않음 — 사용자가 골라야 habit_goals 생성 (REQ-110)
사유: REQ-110~117 — 성규님 데이터 흐름 기준 [성규 확인 필요]</t>
        </is>
      </c>
      <c r="E84" s="10" t="n"/>
    </row>
    <row r="85" hidden="1" outlineLevel="1" ht="84" customHeight="1">
      <c r="A85" s="10" t="n"/>
      <c r="B85" s="10" t="inlineStr">
        <is>
          <t>habit_goals (실천 목표) — 테이블 신규</t>
        </is>
      </c>
      <c r="C85" s="10" t="inlineStr">
        <is>
          <t>(없음)</t>
        </is>
      </c>
      <c r="D85" s="10" t="inlineStr">
        <is>
          <t>필드 11개: id, user_id, recommendation_id, title, goal_type, target_value, unit, start_date, end_date, status, created_at
최대 3개 활성 (REQ-111)
사유: REQ-111 · 116 [성규 확인 필요]</t>
        </is>
      </c>
      <c r="E85" s="10" t="n"/>
    </row>
    <row r="86" hidden="1" outlineLevel="1" ht="42" customHeight="1">
      <c r="A86" s="10" t="n"/>
      <c r="B86" s="10" t="inlineStr">
        <is>
          <t>habit_records (실천 기록) — 테이블 신규</t>
        </is>
      </c>
      <c r="C86" s="10" t="inlineStr">
        <is>
          <t>(없음)</t>
        </is>
      </c>
      <c r="D86" s="10" t="inlineStr">
        <is>
          <t>필드 6개: id, goal_id, record_date, value, completed, created_at
사유: REQ-112 · 115 [성규 확인 필요]</t>
        </is>
      </c>
      <c r="E86" s="10" t="n"/>
    </row>
    <row r="87" hidden="1" outlineLevel="1" ht="42" customHeight="1">
      <c r="A87" s="10" t="n"/>
      <c r="B87" s="10" t="inlineStr">
        <is>
          <t>rewards (포인트) — 테이블 신규</t>
        </is>
      </c>
      <c r="C87" s="10" t="inlineStr">
        <is>
          <t>(없음)</t>
        </is>
      </c>
      <c r="D87" s="10" t="inlineStr">
        <is>
          <t>필드 7개: id, user_id, record_id, reward_type, points, reward_date, created_at
사유: REQ-113 [성규 확인 필요]</t>
        </is>
      </c>
      <c r="E87" s="10" t="n"/>
    </row>
    <row r="88" ht="32" customHeight="1">
      <c r="A88" s="7" t="inlineStr">
        <is>
          <t>v1.1</t>
        </is>
      </c>
      <c r="B88" s="7" t="inlineStr">
        <is>
          <t>2026-09-25</t>
        </is>
      </c>
      <c r="C88" s="8" t="inlineStr">
        <is>
          <t>FHIR R4 대응 탭 추가 — 테이블 35개 · 주요 필드를 FHIR 리소스 · 요소에 대응 (75행). 스키마 변경 없음</t>
        </is>
      </c>
      <c r="D88" s="26" t="n"/>
      <c r="E88" s="7" t="inlineStr">
        <is>
          <t>이형준</t>
        </is>
      </c>
    </row>
    <row r="89" hidden="1" outlineLevel="1">
      <c r="A89" s="9" t="n"/>
      <c r="B89" s="9" t="inlineStr">
        <is>
          <t>위치</t>
        </is>
      </c>
      <c r="C89" s="9" t="inlineStr">
        <is>
          <t>현행 (As-Is)</t>
        </is>
      </c>
      <c r="D89" s="9" t="inlineStr">
        <is>
          <t>개정 (To-Be)</t>
        </is>
      </c>
      <c r="E89" s="9" t="n"/>
    </row>
    <row r="90" hidden="1" outlineLevel="1" ht="56" customHeight="1">
      <c r="A90" s="10" t="n"/>
      <c r="B90" s="10" t="inlineStr">
        <is>
          <t>FHIR 대응 탭 — 신규</t>
        </is>
      </c>
      <c r="C90" s="10" t="inlineStr">
        <is>
          <t>(없음) — FHIR 대응 정보 없음. 국내 공공데이터 코드(KCD · 심평원 EDI · 식약처 DUR) 기준으로만 설계</t>
        </is>
      </c>
      <c r="D90" s="10" t="inlineStr">
        <is>
          <t>FHIR 대응 탭 75행: 영역 · 테이블 · 필드 · FHIR 리소스 · 요소 경로 · 값 변환 · 대응 수준(일치 / 변환 / 확장 / FHIR 외) · 비고
사유: 표준 대응 근거를 미리 정리 (나중에 찾아 넣기 어려움), 참여기업 · 멘토 질의 대비</t>
        </is>
      </c>
      <c r="E90" s="10" t="n"/>
    </row>
    <row r="91" hidden="1" outlineLevel="1" ht="28" customHeight="1">
      <c r="A91" s="10" t="n"/>
      <c r="B91" s="10" t="inlineStr">
        <is>
          <t>작성 규칙 / 탭 구성</t>
        </is>
      </c>
      <c r="C91" s="10" t="inlineStr">
        <is>
          <t>작성 규칙 / 변경 이력 / 요약 / 사용자 / 입력 / 분석 / 챗봇 / 실천·보상 / 마스터</t>
        </is>
      </c>
      <c r="D91" s="10" t="inlineStr">
        <is>
          <t>… / 마스터 / FHIR 대응</t>
        </is>
      </c>
      <c r="E91" s="10" t="n"/>
    </row>
    <row r="92" hidden="1" outlineLevel="1" ht="20" customHeight="1">
      <c r="A92" s="10" t="n"/>
      <c r="B92" s="10" t="inlineStr">
        <is>
          <t>작성 규칙 / FHIR 대응 — 신규 행</t>
        </is>
      </c>
      <c r="C92" s="10" t="inlineStr">
        <is>
          <t>(없음)</t>
        </is>
      </c>
      <c r="D92" s="10" t="inlineStr">
        <is>
          <t>테이블 · 필드를 바꾸면 FHIR 대응 탭도 같이 수정</t>
        </is>
      </c>
      <c r="E92" s="10" t="n"/>
    </row>
    <row r="93" hidden="1" outlineLevel="1" ht="44" customHeight="1">
      <c r="A93" s="10" t="n"/>
      <c r="B93" s="10" t="inlineStr">
        <is>
          <t>파일 이름 · 탭 제목 버전</t>
        </is>
      </c>
      <c r="C93" s="10" t="inlineStr">
        <is>
          <t>ERD_6기_5팀_v1.0.xlsx · "ERD v1.0" · dbml 헤더의 이력 위치 "ERD_6기_5팀_v1.0.xlsx"</t>
        </is>
      </c>
      <c r="D93" s="10" t="inlineStr">
        <is>
          <t>ERD_6기_5팀_v1.1.xlsx · "ERD v1.1" · dbml 헤더도 "ERD_6기_5팀_v1.1.xlsx"로 수정 (dbml 스키마는 그대로라 파일명 v1.0 유지)</t>
        </is>
      </c>
      <c r="E93" s="10" t="n"/>
    </row>
    <row r="94" ht="46" customHeight="1">
      <c r="A94" s="7" t="inlineStr">
        <is>
          <t>v1.2</t>
        </is>
      </c>
      <c r="B94" s="7" t="inlineStr">
        <is>
          <t>2026-09-28</t>
        </is>
      </c>
      <c r="C94" s="8" t="inlineStr">
        <is>
          <t>리뷰 반영 — 생활습관 근거를 실천 항목별 출처 테이블로 분리, 칼륨 등 "의료진 확인" 표시 추가, OCR 비동기 작업 테이블 추가</t>
        </is>
      </c>
      <c r="D94" s="26" t="n"/>
      <c r="E94" s="7" t="inlineStr">
        <is>
          <t>이형준</t>
        </is>
      </c>
    </row>
    <row r="95" hidden="1" outlineLevel="1">
      <c r="A95" s="9" t="n"/>
      <c r="B95" s="9" t="inlineStr">
        <is>
          <t>위치</t>
        </is>
      </c>
      <c r="C95" s="9" t="inlineStr">
        <is>
          <t>현행 (As-Is)</t>
        </is>
      </c>
      <c r="D95" s="9" t="inlineStr">
        <is>
          <t>개정 (To-Be)</t>
        </is>
      </c>
      <c r="E95" s="9" t="n"/>
    </row>
    <row r="96" hidden="1" outlineLevel="1" ht="70" customHeight="1">
      <c r="A96" s="10" t="n"/>
      <c r="B96" s="10" t="inlineStr">
        <is>
          <t>ocr_jobs (OCR 작업) — 테이블 신규</t>
        </is>
      </c>
      <c r="C96" s="10" t="inlineStr">
        <is>
          <t>(없음) — O-1 업로드가 201로 바로 prescriptionIds 반환</t>
        </is>
      </c>
      <c r="D96" s="10" t="inlineStr">
        <is>
          <t>필드 7개: id, user_id, status(queued / running / done / failed), file_count, error_code, created_at, finished_at
사유: OCR 처리 시간이 NFR-001 P95 3초와 충돌할 수 있어 202 + 작업 ID 구조로 (리뷰 지적 · 채연 확인 필요)</t>
        </is>
      </c>
      <c r="E96" s="10" t="n"/>
    </row>
    <row r="97" hidden="1" outlineLevel="1" ht="28" customHeight="1">
      <c r="A97" s="10" t="n"/>
      <c r="B97" s="10" t="inlineStr">
        <is>
          <t>prescriptions / ocr_job_id — 필드 추가</t>
        </is>
      </c>
      <c r="C97" s="10" t="inlineStr">
        <is>
          <t>(없음)</t>
        </is>
      </c>
      <c r="D97" s="10" t="inlineStr">
        <is>
          <t>ocr_job_id bigint · FK · → ocr_jobs.id</t>
        </is>
      </c>
      <c r="E97" s="10" t="n"/>
    </row>
    <row r="98" hidden="1" outlineLevel="1" ht="28" customHeight="1">
      <c r="A98" s="10" t="n"/>
      <c r="B98" s="10" t="inlineStr">
        <is>
          <t>prescriptions / file_index — 필드 추가</t>
        </is>
      </c>
      <c r="C98" s="10" t="inlineStr">
        <is>
          <t>(없음)</t>
        </is>
      </c>
      <c r="D98" s="10" t="inlineStr">
        <is>
          <t>file_index smallint — 작업 안에서 몇 번째 사진인지 (실패 사진 안내용)</t>
        </is>
      </c>
      <c r="E98" s="10" t="n"/>
    </row>
    <row r="99" hidden="1" outlineLevel="1" ht="42" customHeight="1">
      <c r="A99" s="10" t="n"/>
      <c r="B99" s="10" t="inlineStr">
        <is>
          <t>lifestyle_guides / actions — 삭제</t>
        </is>
      </c>
      <c r="C99" s="10" t="inlineStr">
        <is>
          <t>actions text — 실천 방법 (JSON 배열)</t>
        </is>
      </c>
      <c r="D99" s="10" t="inlineStr">
        <is>
          <t>삭제 → lifestyle_guide_actions 테이블로 분리
사유: 실천 항목마다 출처를 따로 달아야 검증 · 갱신 가능 (리뷰 지적 5)</t>
        </is>
      </c>
      <c r="E99" s="10" t="n"/>
    </row>
    <row r="100" hidden="1" outlineLevel="1" ht="28" customHeight="1">
      <c r="A100" s="10" t="n"/>
      <c r="B100" s="10" t="inlineStr">
        <is>
          <t>lifestyle_guides / source — 삭제</t>
        </is>
      </c>
      <c r="C100" s="10" t="inlineStr">
        <is>
          <t>source varchar(300) — 근거 출처 (예: "질병관리청 · 관련 학회 지침의 권고 수치를 정리")</t>
        </is>
      </c>
      <c r="D100" s="10" t="inlineStr">
        <is>
          <t>삭제 → source_id (FK → lifestyle_guide_sources)</t>
        </is>
      </c>
      <c r="E100" s="10" t="n"/>
    </row>
    <row r="101" hidden="1" outlineLevel="1" ht="28" customHeight="1">
      <c r="A101" s="10" t="n"/>
      <c r="B101" s="10" t="inlineStr">
        <is>
          <t>lifestyle_guides / source_id — 필드 추가</t>
        </is>
      </c>
      <c r="C101" s="10" t="inlineStr">
        <is>
          <t>(없음)</t>
        </is>
      </c>
      <c r="D101" s="10" t="inlineStr">
        <is>
          <t>source_id bigint · FK · → lifestyle_guide_sources.id — 목표 수치의 근거</t>
        </is>
      </c>
      <c r="E101" s="10" t="n"/>
    </row>
    <row r="102" hidden="1" outlineLevel="1" ht="28" customHeight="1">
      <c r="A102" s="10" t="n"/>
      <c r="B102" s="10" t="inlineStr">
        <is>
          <t>lifestyle_guide_actions (생활습관 실천 항목) — 테이블 신규</t>
        </is>
      </c>
      <c r="C102" s="10" t="inlineStr">
        <is>
          <t>(없음)</t>
        </is>
      </c>
      <c r="D102" s="10" t="inlineStr">
        <is>
          <t>필드 6개: id, guide_id, action_text, source_id(NOT NULL), goal_eligible(기본 true), sort_order</t>
        </is>
      </c>
      <c r="E102" s="10" t="n"/>
    </row>
    <row r="103" hidden="1" outlineLevel="1" ht="28" customHeight="1">
      <c r="A103" s="10" t="n"/>
      <c r="B103" s="10" t="inlineStr">
        <is>
          <t>lifestyle_guide_sources (생활습관 근거 출처) — 테이블 신규</t>
        </is>
      </c>
      <c r="C103" s="10" t="inlineStr">
        <is>
          <t>(없음)</t>
        </is>
      </c>
      <c r="D103" s="10" t="inlineStr">
        <is>
          <t>필드 8개: id, org, title, edition, published_date, url, identifier, accessed_date</t>
        </is>
      </c>
      <c r="E103" s="10" t="n"/>
    </row>
    <row r="104" hidden="1" outlineLevel="1" ht="28" customHeight="1">
      <c r="A104" s="10" t="n"/>
      <c r="B104" s="10" t="inlineStr">
        <is>
          <t>lifestyle_medication_links / source_id — 필드 추가</t>
        </is>
      </c>
      <c r="C104" s="10" t="inlineStr">
        <is>
          <t>(없음)</t>
        </is>
      </c>
      <c r="D104" s="10" t="inlineStr">
        <is>
          <t>source_id bigint · FK · → lifestyle_guide_sources.id</t>
        </is>
      </c>
      <c r="E104" s="10" t="n"/>
    </row>
    <row r="105" hidden="1" outlineLevel="1" ht="70" customHeight="1">
      <c r="A105" s="10" t="n"/>
      <c r="B105" s="10" t="inlineStr">
        <is>
          <t>lifestyle_medication_links / requires_clinician — 필드 추가</t>
        </is>
      </c>
      <c r="C105" s="10" t="inlineStr">
        <is>
          <t>(없음)</t>
        </is>
      </c>
      <c r="D105" s="10" t="inlineStr">
        <is>
          <t>requires_clinician boolean · NOT NULL · 기본값 false — true면 "의료진 확인" 안내로만 표시
사유: 이뇨제 · ACE억제제/ARB와 칼륨 권고는 신장 기능 · 병용 약에 따라 위험 (리뷰 지적 3, lifestyle_guide_facts.json v0.2와 같은 규칙)</t>
        </is>
      </c>
      <c r="E105" s="10" t="n"/>
    </row>
    <row r="106" hidden="1" outlineLevel="1" ht="28" customHeight="1">
      <c r="A106" s="10" t="n"/>
      <c r="B106" s="10" t="inlineStr">
        <is>
          <t>lifestyle_medication_links / goal_eligible — 필드 추가</t>
        </is>
      </c>
      <c r="C106" s="10" t="inlineStr">
        <is>
          <t>(없음)</t>
        </is>
      </c>
      <c r="D106" s="10" t="inlineStr">
        <is>
          <t>goal_eligible boolean · NOT NULL · 기본값 true — false면 실천 목표로 만들지 않음</t>
        </is>
      </c>
      <c r="E106" s="10" t="n"/>
    </row>
    <row r="107" hidden="1" outlineLevel="1" ht="28" customHeight="1">
      <c r="A107" s="10" t="n"/>
      <c r="B107" s="10" t="inlineStr">
        <is>
          <t>recommendations / action_id — 필드 추가</t>
        </is>
      </c>
      <c r="C107" s="10" t="inlineStr">
        <is>
          <t>(없음)</t>
        </is>
      </c>
      <c r="D107" s="10" t="inlineStr">
        <is>
          <t>action_id bigint · FK · → lifestyle_guide_actions.id — 어떤 실천 항목(출처 포함)에서 나온 추천인지</t>
        </is>
      </c>
      <c r="E107" s="10" t="n"/>
    </row>
    <row r="108" hidden="1" outlineLevel="1" ht="28" customHeight="1">
      <c r="A108" s="10" t="n"/>
      <c r="B108" s="10" t="inlineStr">
        <is>
          <t>인덱스 메모 (dbml 하단)</t>
        </is>
      </c>
      <c r="C108" s="10" t="inlineStr">
        <is>
          <t>analyses(job_id) — 폴링 조회</t>
        </is>
      </c>
      <c r="D108" s="10" t="inlineStr">
        <is>
          <t>analyses(user_id, created_at) — 지난 기록 목록 (job_id는 v1.0에서 삭제된 칸이라 정리)</t>
        </is>
      </c>
      <c r="E108" s="10" t="n"/>
    </row>
    <row r="109" hidden="1" outlineLevel="1" ht="42" customHeight="1">
      <c r="A109" s="10" t="n"/>
      <c r="B109" s="10" t="inlineStr">
        <is>
          <t>FHIR 대응 탭</t>
        </is>
      </c>
      <c r="C109" s="10" t="inlineStr">
        <is>
          <t>75행 · 생활습관 행 "lifestyle_guides · lifestyle_medication_links"</t>
        </is>
      </c>
      <c r="D109" s="10" t="inlineStr">
        <is>
          <t>78행 — ocr_jobs(Task) · lifestyle_guide_sources(relatedArtifact) · requires_clinician/goal_eligible(extension) 추가, 생활습관 행에 lifestyle_guide_actions 포함</t>
        </is>
      </c>
      <c r="E109" s="10" t="n"/>
    </row>
    <row r="110" hidden="1" outlineLevel="1" ht="42" customHeight="1">
      <c r="A110" s="10" t="n"/>
      <c r="B110" s="10" t="inlineStr">
        <is>
          <t>파일 이름 · 탭 제목 · dbml</t>
        </is>
      </c>
      <c r="C110" s="10" t="inlineStr">
        <is>
          <t>ERD_6기_5팀_v1.1.xlsx · "ERD v1.1" · ERD_6기_5팀_v1.0.dbml (헤더 "ERD v1.0", 기준 "API v1.0 · 요구사항 v1.0")</t>
        </is>
      </c>
      <c r="D110" s="10" t="inlineStr">
        <is>
          <t>ERD_6기_5팀_v1.2.xlsx · "ERD v1.2" · ERD_6기_5팀_v1.2.dbml (헤더 "ERD v1.2", 기준 "API v1.1 · 요구사항 v1.3") — 스키마가 바뀌어 dbml도 같은 버전으로</t>
        </is>
      </c>
      <c r="E110" s="10" t="n"/>
    </row>
    <row r="111" ht="46" customHeight="1">
      <c r="A111" s="7" t="inlineStr">
        <is>
          <t>v1.3</t>
        </is>
      </c>
      <c r="B111" s="7" t="inlineStr">
        <is>
          <t>2026-10-06</t>
        </is>
      </c>
      <c r="C111" s="8" t="inlineStr">
        <is>
          <t>챗봇 1단계 반영 (PR #3 · API v1.3) — answer_type 7가지, 요청 번호(client_request_id) · 맥락 카드(context_card) 필드 추가, 날짜별 여러 대화 구조 확정 / 담당 변경 (사용자 수인 · 분석 · 마스터 채연) / 긴급 기록 테이블은 팀 확인 후 / 코드 맞춤: 복합 PK 2곳 → id + unique, prescription_diseases.disease_id, 상병 21,299개 · 규격 칸 설명 / 성규 리뷰(10/6): 추천이 지워지면 목표 연결 비움(SET NULL) · 하루 보너스(all_done) 중복 방지 / 허가정보 키를 item_seq로 · 급여목록에 없는 약 담기 · 약봉투 조제일 (수인 PR #48 리뷰 10/6)</t>
        </is>
      </c>
      <c r="D111" s="26" t="n"/>
      <c r="E111" s="7" t="inlineStr">
        <is>
          <t>김채연</t>
        </is>
      </c>
    </row>
    <row r="112" hidden="1" outlineLevel="1">
      <c r="A112" s="9" t="n"/>
      <c r="B112" s="9" t="inlineStr">
        <is>
          <t>위치</t>
        </is>
      </c>
      <c r="C112" s="9" t="inlineStr">
        <is>
          <t>현행 (As-Is)</t>
        </is>
      </c>
      <c r="D112" s="9" t="inlineStr">
        <is>
          <t>개정 (To-Be)</t>
        </is>
      </c>
      <c r="E112" s="9" t="n"/>
    </row>
    <row r="113" hidden="1" outlineLevel="1" ht="70" customHeight="1">
      <c r="A113" s="10" t="n"/>
      <c r="B113" s="10" t="inlineStr">
        <is>
          <t>챗봇 / chat_messages.answer_type / 설명</t>
        </is>
      </c>
      <c r="C113" s="10" t="inlineStr">
        <is>
          <t>answered / refused_medical(의료진 상담 필요) / no_evidence(확인이 어렵습니다)</t>
        </is>
      </c>
      <c r="D113" s="10" t="inlineStr">
        <is>
          <t>normal / clarify(정보 확인) / partial(일부만 확인됐어요) / no_evidence(확인이 어렵습니다) / refer(의료진 상담 필요) / emergency(긴급 안내) / crisis(도움 연결) — error는 프론트 전용이라 저장 안 함 (API v1.3 H-3)</t>
        </is>
      </c>
      <c r="E113" s="10" t="n"/>
    </row>
    <row r="114" hidden="1" outlineLevel="1" ht="70" customHeight="1">
      <c r="A114" s="10" t="n"/>
      <c r="B114" s="10" t="inlineStr">
        <is>
          <t>챗봇 / chat_messages.sources / 설명</t>
        </is>
      </c>
      <c r="C114" s="10" t="inlineStr">
        <is>
          <t>답변 근거 출처</t>
        </is>
      </c>
      <c r="D114" s="10" t="inlineStr">
        <is>
          <t>답변 근거 출처 — [{ title, basedOn }] 형식 (API v1.3 H-3)</t>
        </is>
      </c>
      <c r="E114" s="10" t="n"/>
    </row>
    <row r="115" hidden="1" outlineLevel="1" ht="70" customHeight="1">
      <c r="A115" s="10" t="n"/>
      <c r="B115" s="10" t="inlineStr">
        <is>
          <t>챗봇 / chat_sessions.id / 비고 (테이블 설명)</t>
        </is>
      </c>
      <c r="C115" s="10" t="inlineStr">
        <is>
          <t>날짜별 여러 대화 구조로 갈지 팀 확정 필요 (REQ-077)</t>
        </is>
      </c>
      <c r="D115" s="10" t="inlineStr">
        <is>
          <t>날짜별 여러 대화 구조 (PR #3 10/2 답변으로 확정). 1단계는 하루 한 대화로 쓰고, 분석 결과에서 들어오면 맥락 카드를 붙임 (H-7)</t>
        </is>
      </c>
      <c r="E115" s="10" t="n"/>
    </row>
    <row r="116" hidden="1" outlineLevel="1" ht="70" customHeight="1">
      <c r="A116" s="10" t="n"/>
      <c r="B116" s="10" t="inlineStr">
        <is>
          <t>챗봇 / chat_sessions.client_request_id — 필드 추가</t>
        </is>
      </c>
      <c r="C116" s="10" t="inlineStr">
        <is>
          <t>(없음)</t>
        </is>
      </c>
      <c r="D116" s="10" t="inlineStr">
        <is>
          <t>varchar(64) · N — 앱이 만든 요청 번호 — H-1을 다시 보내도 대화를 새로 만들지 않음. (user_id, client_request_id) UQ</t>
        </is>
      </c>
      <c r="E116" s="10" t="n"/>
    </row>
    <row r="117" hidden="1" outlineLevel="1" ht="70" customHeight="1">
      <c r="A117" s="10" t="n"/>
      <c r="B117" s="10" t="inlineStr">
        <is>
          <t>챗봇 / chat_messages.client_request_id — 필드 추가</t>
        </is>
      </c>
      <c r="C117" s="10" t="inlineStr">
        <is>
          <t>(없음)</t>
        </is>
      </c>
      <c r="D117" s="10" t="inlineStr">
        <is>
          <t>varchar(64) · N — 앱이 만든 요청 번호 — 다시 시도(CB-01-E6) 때 같은 질문을 두 번 저장하지 않음. (session_id, client_request_id) UQ</t>
        </is>
      </c>
      <c r="E117" s="10" t="n"/>
    </row>
    <row r="118" hidden="1" outlineLevel="1" ht="70" customHeight="1">
      <c r="A118" s="10" t="n"/>
      <c r="B118" s="10" t="inlineStr">
        <is>
          <t>챗봇 / chat_messages.context_card — 필드 추가</t>
        </is>
      </c>
      <c r="C118" s="10" t="inlineStr">
        <is>
          <t>(없음)</t>
        </is>
      </c>
      <c r="D118" s="10" t="inlineStr">
        <is>
          <t>jsonb · N — 1단계 하루 한 대화에서 붙인 분석 맥락 { analysisId, context } — 다시 들어왔을 때 카드를 그대로 그림 (H-7)</t>
        </is>
      </c>
      <c r="E118" s="10" t="n"/>
    </row>
    <row r="119" hidden="1" outlineLevel="1" ht="70" customHeight="1">
      <c r="A119" s="10" t="n"/>
      <c r="B119" s="10" t="inlineStr">
        <is>
          <t>요약 / 사용자 담당 · 범위</t>
        </is>
      </c>
      <c r="C119" s="10" t="inlineStr">
        <is>
          <t>형준 · 회원 · 동의</t>
        </is>
      </c>
      <c r="D119" s="10" t="inlineStr">
        <is>
          <t>수인 · 회원 · 동의</t>
        </is>
      </c>
      <c r="E119" s="10" t="n"/>
    </row>
    <row r="120" hidden="1" outlineLevel="1" ht="70" customHeight="1">
      <c r="A120" s="10" t="n"/>
      <c r="B120" s="10" t="inlineStr">
        <is>
          <t>요약 / 분석 담당 · 범위</t>
        </is>
      </c>
      <c r="C120" s="10" t="inlineStr">
        <is>
          <t>형준 · 분석 작업 · 안전성 경고 · 안내문 · 피드백</t>
        </is>
      </c>
      <c r="D120" s="10" t="inlineStr">
        <is>
          <t>채연 · 분석 작업 · 안전성 경고 · 안내문 · 피드백</t>
        </is>
      </c>
      <c r="E120" s="10" t="n"/>
    </row>
    <row r="121" hidden="1" outlineLevel="1" ht="70" customHeight="1">
      <c r="A121" s="10" t="n"/>
      <c r="B121" s="10" t="inlineStr">
        <is>
          <t>요약 / 마스터 담당 · 범위</t>
        </is>
      </c>
      <c r="C121" s="10" t="inlineStr">
        <is>
          <t>형준 · 공공데이터 사전 적재 (의약품 · DUR · 중복 · 질병 · 생활습관)</t>
        </is>
      </c>
      <c r="D121" s="10" t="inlineStr">
        <is>
          <t>채연 · 공공데이터 사전 적재 (의약품 · DUR · 중복 · 질병 · 생활습관)</t>
        </is>
      </c>
      <c r="E121" s="10" t="n"/>
    </row>
    <row r="122" hidden="1" outlineLevel="1" ht="70" customHeight="1">
      <c r="A122" s="10" t="n"/>
      <c r="B122" s="10" t="inlineStr">
        <is>
          <t>사용자 / 탭 설명 (2행)</t>
        </is>
      </c>
      <c r="C122" s="10" t="inlineStr">
        <is>
          <t>형준 · 회원 · 동의</t>
        </is>
      </c>
      <c r="D122" s="10" t="inlineStr">
        <is>
          <t>수인 · 회원 · 동의</t>
        </is>
      </c>
      <c r="E122" s="10" t="n"/>
    </row>
    <row r="123" hidden="1" outlineLevel="1" ht="70" customHeight="1">
      <c r="A123" s="10" t="n"/>
      <c r="B123" s="10" t="inlineStr">
        <is>
          <t>분석 / 탭 설명 (2행)</t>
        </is>
      </c>
      <c r="C123" s="10" t="inlineStr">
        <is>
          <t>형준 · 분석 작업 · 안전성 경고 · 안내문 · 피드백</t>
        </is>
      </c>
      <c r="D123" s="10" t="inlineStr">
        <is>
          <t>채연 · 분석 작업 · 안전성 경고 · 안내문 · 피드백</t>
        </is>
      </c>
      <c r="E123" s="10" t="n"/>
    </row>
    <row r="124" hidden="1" outlineLevel="1" ht="70" customHeight="1">
      <c r="A124" s="10" t="n"/>
      <c r="B124" s="10" t="inlineStr">
        <is>
          <t>마스터 / 탭 설명 (2행)</t>
        </is>
      </c>
      <c r="C124" s="10" t="inlineStr">
        <is>
          <t>형준 · 공공데이터 사전 적재 (의약품 · DUR · 중복 · 질병 · 생활습관)</t>
        </is>
      </c>
      <c r="D124" s="10" t="inlineStr">
        <is>
          <t>채연 · 공공데이터 사전 적재 (의약품 · DUR · 중복 · 질병 · 생활습관)</t>
        </is>
      </c>
      <c r="E124" s="10" t="n"/>
    </row>
    <row r="125" hidden="1" outlineLevel="1" ht="70" customHeight="1">
      <c r="A125" s="10" t="n"/>
      <c r="B125" s="10" t="inlineStr">
        <is>
          <t>파일 이름 · 탭 제목 · dbml</t>
        </is>
      </c>
      <c r="C125" s="10" t="inlineStr">
        <is>
          <t>ERD_6기_5팀_v1.2.xlsx · "ERD v1.2" · ERD_6기_5팀_v1.2.dbml (기준 "Figma 45개 화면 · API v1.1 · 요구사항 v1.3")</t>
        </is>
      </c>
      <c r="D125" s="10" t="inlineStr">
        <is>
          <t>ERD_6기_5팀_v1.3.xlsx · "ERD v1.3" · ERD_6기_5팀_v1.3.dbml (기준 "Figma 53개 화면 · API v1.3 · 요구사항 v1.5", DB PostgreSQL 16 + pgvector 10/2 확정)</t>
        </is>
      </c>
      <c r="E125" s="10" t="n"/>
    </row>
    <row r="126" hidden="1" outlineLevel="1" ht="70" customHeight="1">
      <c r="A126" s="10" t="n"/>
      <c r="B126" s="10" t="inlineStr">
        <is>
          <t>입력 / prescription_diseases.prescription_id / 키</t>
        </is>
      </c>
      <c r="C126" s="10" t="inlineStr">
        <is>
          <t>PK · FK</t>
        </is>
      </c>
      <c r="D126" s="10" t="inlineStr">
        <is>
          <t>FK</t>
        </is>
      </c>
      <c r="E126" s="10" t="n"/>
    </row>
    <row r="127" hidden="1" outlineLevel="1" ht="70" customHeight="1">
      <c r="A127" s="10" t="n"/>
      <c r="B127" s="10" t="inlineStr">
        <is>
          <t>입력 / prescription_diseases.disease_code / 필드</t>
        </is>
      </c>
      <c r="C127" s="10" t="inlineStr">
        <is>
          <t>disease_code</t>
        </is>
      </c>
      <c r="D127" s="10" t="inlineStr">
        <is>
          <t>disease_id</t>
        </is>
      </c>
      <c r="E127" s="10" t="n"/>
    </row>
    <row r="128" hidden="1" outlineLevel="1" ht="70" customHeight="1">
      <c r="A128" s="10" t="n"/>
      <c r="B128" s="10" t="inlineStr">
        <is>
          <t>입력 / prescription_diseases.disease_id / 키</t>
        </is>
      </c>
      <c r="C128" s="10" t="inlineStr">
        <is>
          <t>PK · FK</t>
        </is>
      </c>
      <c r="D128" s="10" t="inlineStr">
        <is>
          <t>FK</t>
        </is>
      </c>
      <c r="E128" s="10" t="n"/>
    </row>
    <row r="129" hidden="1" outlineLevel="1" ht="70" customHeight="1">
      <c r="A129" s="10" t="n"/>
      <c r="B129" s="10" t="inlineStr">
        <is>
          <t>입력 / prescription_diseases.disease_id / 설명</t>
        </is>
      </c>
      <c r="C129" s="10" t="inlineStr">
        <is>
          <t>(없음)</t>
        </is>
      </c>
      <c r="D129" s="10" t="inlineStr">
        <is>
          <t>값은 상병기호 (예: I10). (prescription_id, disease_id) UQ — 칸 이름은 Tortoise 규칙에 맞춤</t>
        </is>
      </c>
      <c r="E129" s="10" t="n"/>
    </row>
    <row r="130" hidden="1" outlineLevel="1" ht="70" customHeight="1">
      <c r="A130" s="10" t="n"/>
      <c r="B130" s="10" t="inlineStr">
        <is>
          <t>입력 / prescription_diseases.id — 필드 추가</t>
        </is>
      </c>
      <c r="C130" s="10" t="inlineStr">
        <is>
          <t>(없음) — PK는 (prescription_id, disease_code)</t>
        </is>
      </c>
      <c r="D130" s="10" t="inlineStr">
        <is>
          <t>id bigint · PK, 원래 두 칸은 unique (Tortoise 복합 PK 미지원)</t>
        </is>
      </c>
      <c r="E130" s="10" t="n"/>
    </row>
    <row r="131" hidden="1" outlineLevel="1" ht="70" customHeight="1">
      <c r="A131" s="10" t="n"/>
      <c r="B131" s="10" t="inlineStr">
        <is>
          <t>입력 / prescription_item_candidates.item_id / 키</t>
        </is>
      </c>
      <c r="C131" s="10" t="inlineStr">
        <is>
          <t>PK · FK</t>
        </is>
      </c>
      <c r="D131" s="10" t="inlineStr">
        <is>
          <t>FK</t>
        </is>
      </c>
      <c r="E131" s="10" t="n"/>
    </row>
    <row r="132" hidden="1" outlineLevel="1" ht="70" customHeight="1">
      <c r="A132" s="10" t="n"/>
      <c r="B132" s="10" t="inlineStr">
        <is>
          <t>입력 / prescription_item_candidates.rank / 키</t>
        </is>
      </c>
      <c r="C132" s="10" t="inlineStr">
        <is>
          <t>PK</t>
        </is>
      </c>
      <c r="D132" s="10" t="n"/>
      <c r="E132" s="10" t="n"/>
    </row>
    <row r="133" hidden="1" outlineLevel="1" ht="70" customHeight="1">
      <c r="A133" s="10" t="n"/>
      <c r="B133" s="10" t="inlineStr">
        <is>
          <t>입력 / prescription_item_candidates.rank / 설명</t>
        </is>
      </c>
      <c r="C133" s="10" t="inlineStr">
        <is>
          <t>(없음)</t>
        </is>
      </c>
      <c r="D133" s="10" t="inlineStr">
        <is>
          <t>(item_id, rank) UQ</t>
        </is>
      </c>
      <c r="E133" s="10" t="n"/>
    </row>
    <row r="134" hidden="1" outlineLevel="1" ht="70" customHeight="1">
      <c r="A134" s="10" t="n"/>
      <c r="B134" s="10" t="inlineStr">
        <is>
          <t>입력 / prescription_item_candidates.edi_code / 필수</t>
        </is>
      </c>
      <c r="C134" s="10" t="inlineStr">
        <is>
          <t>N</t>
        </is>
      </c>
      <c r="D134" s="10" t="inlineStr">
        <is>
          <t>Y</t>
        </is>
      </c>
      <c r="E134" s="10" t="n"/>
    </row>
    <row r="135" hidden="1" outlineLevel="1" ht="70" customHeight="1">
      <c r="A135" s="10" t="n"/>
      <c r="B135" s="10" t="inlineStr">
        <is>
          <t>입력 / prescription_item_candidates.edi_code / 설명</t>
        </is>
      </c>
      <c r="C135" s="10" t="inlineStr">
        <is>
          <t>(없음)</t>
        </is>
      </c>
      <c r="D135" s="10" t="inlineStr">
        <is>
          <t>후보는 항상 약 하나를 가리킴</t>
        </is>
      </c>
      <c r="E135" s="10" t="n"/>
    </row>
    <row r="136" hidden="1" outlineLevel="1" ht="70" customHeight="1">
      <c r="A136" s="10" t="n"/>
      <c r="B136" s="10" t="inlineStr">
        <is>
          <t>입력 / prescription_item_candidates.id — 필드 추가</t>
        </is>
      </c>
      <c r="C136" s="10" t="inlineStr">
        <is>
          <t>(없음) — PK는 (item_id, rank)</t>
        </is>
      </c>
      <c r="D136" s="10" t="inlineStr">
        <is>
          <t>id bigint · PK, 원래 두 칸은 unique</t>
        </is>
      </c>
      <c r="E136" s="10" t="n"/>
    </row>
    <row r="137" hidden="1" outlineLevel="1" ht="70" customHeight="1">
      <c r="A137" s="10" t="n"/>
      <c r="B137" s="10" t="inlineStr">
        <is>
          <t>마스터 / drug_products.edi_code / 비고 (테이블 설명)</t>
        </is>
      </c>
      <c r="C137" s="10" t="inlineStr">
        <is>
          <t>약제급여목록 22,041품목 기준. 규격·단위는 복용 총량 계산에 사용</t>
        </is>
      </c>
      <c r="D137" s="10" t="inlineStr">
        <is>
          <t>약제급여목록 22,045품목 (2026.9.1.). 규격 · 단위는 포장 단위(예: 1 · 정)라 복용 총량 계산에는 제품명의 함량(예: "_(3.39mg/1정)")을 씀</t>
        </is>
      </c>
      <c r="E137" s="10" t="n"/>
    </row>
    <row r="138" hidden="1" outlineLevel="1" ht="70" customHeight="1">
      <c r="A138" s="10" t="n"/>
      <c r="B138" s="10" t="inlineStr">
        <is>
          <t>마스터 / drug_products.spec_value / 설명</t>
        </is>
      </c>
      <c r="C138" s="10" t="inlineStr">
        <is>
          <t>규격 (예: 5)</t>
        </is>
      </c>
      <c r="D138" s="10" t="inlineStr">
        <is>
          <t>포장 규격 숫자 (예: 1, 95(1) → 95) — 성분 함량 아님</t>
        </is>
      </c>
      <c r="E138" s="10" t="n"/>
    </row>
    <row r="139" hidden="1" outlineLevel="1" ht="70" customHeight="1">
      <c r="A139" s="10" t="n"/>
      <c r="B139" s="10" t="inlineStr">
        <is>
          <t>마스터 / drug_products.spec_unit / 설명</t>
        </is>
      </c>
      <c r="C139" s="10" t="inlineStr">
        <is>
          <t>단위 (예: mg/정)</t>
        </is>
      </c>
      <c r="D139" s="10" t="inlineStr">
        <is>
          <t>포장 단위 (예: 정, mL/병)</t>
        </is>
      </c>
      <c r="E139" s="10" t="n"/>
    </row>
    <row r="140" hidden="1" outlineLevel="1" ht="70" customHeight="1">
      <c r="A140" s="10" t="n"/>
      <c r="B140" s="10" t="inlineStr">
        <is>
          <t>마스터 / diseases.code / 비고 (테이블 설명)</t>
        </is>
      </c>
      <c r="C140" s="10" t="inlineStr">
        <is>
          <t>심평원 상병마스터 47,798건</t>
        </is>
      </c>
      <c r="D140" s="10" t="inlineStr">
        <is>
          <t>심평원 상병마스터 2025-09-30 — 47,798줄 중 상병기호 21,299개 (같은 코드에 동의어가 여러 줄, 첫 줄 이름만 씀)</t>
        </is>
      </c>
      <c r="E140" s="10" t="n"/>
    </row>
    <row r="141" hidden="1" outlineLevel="1">
      <c r="A141" s="10" t="n"/>
      <c r="B141" s="10" t="inlineStr">
        <is>
          <t>실천·보상 / habit_goals.recommendation_id / 설명</t>
        </is>
      </c>
      <c r="C141" s="10" t="inlineStr">
        <is>
          <t>(없음) — 삭제 동작 없음 → 분석(추천)을 지우면 이 칸 때문에 삭제가 막힘</t>
        </is>
      </c>
      <c r="D141" s="10" t="inlineStr">
        <is>
          <t>추천(분석)이 지워지면 비움 (ON DELETE SET NULL) — 목표 · 기록 · 포인트는 남김 (기록 삭제 · 동의 철회). dbml은 inline ref 대신 Ref 줄로 (성규 10/6 확인)</t>
        </is>
      </c>
      <c r="E141" s="10" t="n"/>
    </row>
    <row r="142" hidden="1" outlineLevel="1">
      <c r="A142" s="10" t="n"/>
      <c r="B142" s="10" t="inlineStr">
        <is>
          <t>실천·보상 / rewards.record_id / 설명</t>
        </is>
      </c>
      <c r="C142" s="10" t="inlineStr">
        <is>
          <t>목표 완료 보상일 때</t>
        </is>
      </c>
      <c r="D142" s="10" t="inlineStr">
        <is>
          <t>목표 완료 보상일 때 (all_done은 비움)</t>
        </is>
      </c>
      <c r="E142" s="10" t="n"/>
    </row>
    <row r="143" hidden="1" outlineLevel="1">
      <c r="A143" s="10" t="n"/>
      <c r="B143" s="10" t="inlineStr">
        <is>
          <t>실천·보상 / rewards 인덱스</t>
        </is>
      </c>
      <c r="C143" s="10" t="inlineStr">
        <is>
          <t>(user_id, reward_date, reward_type, record_id) unique — record_id가 빈 all_done은 중복이 막히지 않음 (PostgreSQL은 빈 값끼리 다르다고 봄)</t>
        </is>
      </c>
      <c r="D143" s="10" t="inlineStr">
        <is>
          <t>같은 인덱스 + NULLS NOT DISTINCT (PostgreSQL 15+) — all_done도 하루 1번만. Tortoise로 안 만들어져 마이그레이션에 SQL 직접 (성규 10/6 확인)</t>
        </is>
      </c>
      <c r="E143" s="10" t="n"/>
    </row>
    <row r="144" hidden="1" outlineLevel="1">
      <c r="A144" s="10" t="n"/>
      <c r="B144" s="10" t="inlineStr">
        <is>
          <t>작성 규칙 / 다이어그램</t>
        </is>
      </c>
      <c r="C144" s="10" t="inlineStr">
        <is>
          <t>같은 폴더의 ERD_6기_5팀_v1.2.dbml</t>
        </is>
      </c>
      <c r="D144" s="10" t="inlineStr">
        <is>
          <t>같은 폴더의 ERD_6기_5팀_v1.3.dbml</t>
        </is>
      </c>
      <c r="E144" s="10" t="n"/>
    </row>
    <row r="145" hidden="1" outlineLevel="1">
      <c r="A145" s="10" t="n"/>
      <c r="B145" s="10" t="inlineStr">
        <is>
          <t>입력 / prescriptions.issued_date / 설명</t>
        </is>
      </c>
      <c r="C145" s="10" t="inlineStr">
        <is>
          <t>처방 교부일</t>
        </is>
      </c>
      <c r="D145" s="10" t="inlineStr">
        <is>
          <t>처방 교부일 (약봉투는 조제일) — 약봉투에는 교부일이 없고 조제일이 약을 받은 날이라, "지금 먹는 약" 판단에도 같은 칸을 씀 (수인 질문, PR #48)</t>
        </is>
      </c>
      <c r="E145" s="10" t="n"/>
    </row>
    <row r="146" hidden="1" outlineLevel="1">
      <c r="A146" s="10" t="n"/>
      <c r="B146" s="10" t="inlineStr">
        <is>
          <t>마스터 / drug_details.edi_code → item_seq — 키 변경</t>
        </is>
      </c>
      <c r="C146" s="10" t="inlineStr">
        <is>
          <t>edi_code varchar(9) · PK · FK → drug_products.edi_code</t>
        </is>
      </c>
      <c r="D146" s="10" t="inlineStr">
        <is>
          <t>item_seq varchar(9) · PK — 허가 품목 1개 = 1행. edi_code 칸은 없앰 (허가정보 10/2 받은 42,707건 중 허가가 살아 있는 35,194건 가운데 14,436건은 EDI 코드가 없고 858건은 코드가 여러 개라서, EDI 코드 기준으로는 담을 수 없음)</t>
        </is>
      </c>
      <c r="E146" s="10" t="n"/>
    </row>
    <row r="147" hidden="1" outlineLevel="1">
      <c r="A147" s="10" t="n"/>
      <c r="B147" s="10" t="inlineStr">
        <is>
          <t>마스터 / drug_details.item_name · item_name_norm · entp_name · etc_otc — 필드 추가</t>
        </is>
      </c>
      <c r="C147" s="10" t="inlineStr">
        <is>
          <t>(없음)</t>
        </is>
      </c>
      <c r="D147" s="10" t="inlineStr">
        <is>
          <t>급여목록에 없는 약도 이름 · 회사 · 전문/일반을 보여 주고 이름 맞추기에 쓰려고 추가 (O-4)</t>
        </is>
      </c>
      <c r="E147" s="10" t="n"/>
    </row>
    <row r="148" hidden="1" outlineLevel="1">
      <c r="A148" s="10" t="n"/>
      <c r="B148" s="10" t="inlineStr">
        <is>
          <t>마스터 / drug_products.item_seq / 키 · 참조</t>
        </is>
      </c>
      <c r="C148" s="10" t="inlineStr">
        <is>
          <t>참조 없음 (품목기준코드만 적음)</t>
        </is>
      </c>
      <c r="D148" s="10" t="inlineStr">
        <is>
          <t>FK → drug_details.item_seq (한 허가 품목에 EDI 제품이 여러 개일 수 있음). 허가정보를 먼저 넣고 item_seq를 채움</t>
        </is>
      </c>
      <c r="E148" s="10" t="n"/>
    </row>
    <row r="149" hidden="1" outlineLevel="1">
      <c r="A149" s="10" t="n"/>
      <c r="B149" s="10" t="inlineStr">
        <is>
          <t>입력 / prescription_items.item_seq — 필드 추가</t>
        </is>
      </c>
      <c r="C149" s="10" t="inlineStr">
        <is>
          <t>(없음)</t>
        </is>
      </c>
      <c r="D149" s="10" t="inlineStr">
        <is>
          <t>item_seq varchar(9) · N · FK → drug_details.item_seq — 급여목록에 없는 약은 edi_code 없이 이 칸만 채움</t>
        </is>
      </c>
      <c r="E149" s="10" t="n"/>
    </row>
    <row r="150" hidden="1" outlineLevel="1">
      <c r="A150" s="10" t="n"/>
      <c r="B150" s="10" t="inlineStr">
        <is>
          <t>입력 / prescription_items.edi_code / 설명</t>
        </is>
      </c>
      <c r="C150" s="10" t="inlineStr">
        <is>
          <t>매칭 실패 · 제외 시 null</t>
        </is>
      </c>
      <c r="D150" s="10" t="inlineStr">
        <is>
          <t>매칭 실패 · 제외 · 급여목록에 없는 약이면 null</t>
        </is>
      </c>
      <c r="E150" s="10" t="n"/>
    </row>
    <row r="151" hidden="1" outlineLevel="1">
      <c r="A151" s="10" t="n"/>
      <c r="B151" s="10" t="inlineStr">
        <is>
          <t>입력 / prescription_item_candidates.edi_code / 필수 · 설명</t>
        </is>
      </c>
      <c r="C151" s="10" t="inlineStr">
        <is>
          <t>Y · 후보는 항상 약 하나를 가리킴</t>
        </is>
      </c>
      <c r="D151" s="10" t="inlineStr">
        <is>
          <t>N · 급여목록에 있는 약은 edi_code, 없는 약은 item_seq — 둘 중 하나는 꼭 있음 (앱 코드에서 확인, DB 제약 아님)</t>
        </is>
      </c>
      <c r="E151" s="10" t="n"/>
    </row>
    <row r="152" hidden="1" outlineLevel="1">
      <c r="A152" s="10" t="n"/>
      <c r="B152" s="10" t="inlineStr">
        <is>
          <t>입력 / prescription_item_candidates.item_seq — 필드 추가</t>
        </is>
      </c>
      <c r="C152" s="10" t="inlineStr">
        <is>
          <t>(없음)</t>
        </is>
      </c>
      <c r="D152" s="10" t="inlineStr">
        <is>
          <t>item_seq varchar(9) · N · FK → drug_details.item_seq</t>
        </is>
      </c>
      <c r="E152" s="10" t="n"/>
    </row>
    <row r="153" hidden="1" outlineLevel="1">
      <c r="A153" s="10" t="n"/>
      <c r="B153" s="10" t="inlineStr">
        <is>
          <t>파일 머리말 · 챗봇 영역 설명 (dbml)</t>
        </is>
      </c>
      <c r="C153" s="10" t="inlineStr">
        <is>
          <t>기준 "Figma 통합 와이어프레임(53개 화면)" · 4. 챗봇 영역 "화면 CB-01 ~ CB-05-E1"</t>
        </is>
      </c>
      <c r="D153" s="10" t="inlineStr">
        <is>
          <t>기준 "Figma 통합 와이어프레임(50개 화면)" · "화면 CB-01 ~ CB-05" — 키보드 받아쓰기로 바뀌어 CB-05-E1 · CB-05-P · CB-05-E2 삭제 (10/6 수인 #50). 테이블 · 칸은 바뀌지 않음</t>
        </is>
      </c>
      <c r="E153" s="10" t="n"/>
    </row>
    <row r="154" hidden="1" outlineLevel="1">
      <c r="A154" s="10" t="n"/>
      <c r="B154" s="10" t="inlineStr">
        <is>
          <t>입력 / prescription_items.guidance — 필드 추가</t>
        </is>
      </c>
      <c r="C154" s="10" t="inlineStr">
        <is>
          <t>(없음)</t>
        </is>
      </c>
      <c r="D154" s="10" t="inlineStr">
        <is>
          <t>guidance jsonb · N · 약봉투 약 카드에 약국이 인쇄한 복약 안내 문장 목록 (마스킹 후 저장, 없으면 null)</t>
        </is>
      </c>
      <c r="E154" s="10" t="n"/>
    </row>
    <row r="155" hidden="1" outlineLevel="1">
      <c r="A155" s="10" t="n"/>
      <c r="B155" s="10" t="inlineStr">
        <is>
          <t>FHIR 대응 탭 — prescription_items.guidance 행 추가</t>
        </is>
      </c>
      <c r="C155" s="10" t="inlineStr">
        <is>
          <t>78행</t>
        </is>
      </c>
      <c r="D155" s="10" t="inlineStr">
        <is>
          <t>79행 — guidance → MedicationRequest.dosageInstruction.patientInstruction (변환: 문장 목록 → 줄바꿈으로 이어 붙인 text)</t>
        </is>
      </c>
      <c r="E155" s="10" t="n"/>
    </row>
    <row r="156" hidden="1" outlineLevel="1">
      <c r="A156" s="10" t="n"/>
      <c r="B156" s="10" t="inlineStr">
        <is>
          <t>입력 / prescriptions.ocr_raw_text / 설명</t>
        </is>
      </c>
      <c r="C156" s="10" t="inlineStr">
        <is>
          <t>OCR 원문 (원본 이미지는 저장하지 않음) · 암호화</t>
        </is>
      </c>
      <c r="D156" s="10" t="inlineStr">
        <is>
          <t>OCR 원문 — 저장하지 않음 (10/15 결정, 칸은 남겨 두고 비워 둠) · 원본 이미지도 저장하지 않음</t>
        </is>
      </c>
      <c r="E156" s="10" t="n"/>
    </row>
    <row r="157" hidden="1" outlineLevel="1">
      <c r="A157" s="10" t="n"/>
      <c r="B157" s="10" t="inlineStr">
        <is>
          <t>입력 / prescriptions.notices — 필드 추가</t>
        </is>
      </c>
      <c r="C157" s="10" t="inlineStr">
        <is>
          <t>(없음)</t>
        </is>
      </c>
      <c r="D157" s="10" t="inlineStr">
        <is>
          <t>notices jsonb · N · 사진을 읽을 때 사용자가 확인해야 할 점 문장 목록 (줄 수 불일치 · 칸 순서 추정 · 날짜 이상 등, 없으면 null)</t>
        </is>
      </c>
      <c r="E157" s="10" t="n"/>
    </row>
    <row r="158" hidden="1" outlineLevel="1">
      <c r="A158" s="10" t="n"/>
      <c r="B158" s="10" t="inlineStr">
        <is>
          <t>FHIR 대응 탭 — prescriptions.notices 행 추가</t>
        </is>
      </c>
      <c r="C158" s="10" t="inlineStr">
        <is>
          <t>79행</t>
        </is>
      </c>
      <c r="D158" s="10" t="inlineStr">
        <is>
          <t>80행 — notices → extension (확장: OCR 읽기 확인 표시는 내부 처리 정보)</t>
        </is>
      </c>
      <c r="E158" s="10" t="n"/>
    </row>
    <row r="159" hidden="1" outlineLevel="1">
      <c r="A159" s="10" t="n"/>
      <c r="B159" s="10" t="inlineStr">
        <is>
          <t>사용자 / users.nickname — 필드 삭제</t>
        </is>
      </c>
      <c r="C159" s="10" t="inlineStr">
        <is>
          <t>nickname varchar(50) · N — 선택 입력. 홈 인사말용</t>
        </is>
      </c>
      <c r="D159" s="10" t="inlineStr">
        <is>
          <t>삭제
사유: 홈 인사말을 뺌(3회차 멘토링 · 10/7 회의). 인사말용 별명이 쓸 곳이 없어 최소 수집 원칙에 맞춰 뺌 (10/14 팀 합의 · #96). 가입 · 로그인 · 내 정보 응답에서도 뺌</t>
        </is>
      </c>
      <c r="E159" s="10" t="n"/>
    </row>
    <row r="160" hidden="1" outlineLevel="1">
      <c r="A160" s="10" t="n"/>
      <c r="B160" s="10" t="inlineStr">
        <is>
          <t>FHIR 대응 탭 — users.nickname 행 삭제</t>
        </is>
      </c>
      <c r="C160" s="10" t="inlineStr">
        <is>
          <t>80행 — nickname → Patient.name.text</t>
        </is>
      </c>
      <c r="D160" s="10" t="inlineStr">
        <is>
          <t>79행 — 칸이 없어져 대응 행도 뺌</t>
        </is>
      </c>
      <c r="E160" s="10" t="n"/>
    </row>
    <row r="161" hidden="1" outlineLevel="1">
      <c r="A161" s="10" t="n"/>
      <c r="B161" s="10" t="inlineStr">
        <is>
          <t>분석 / drug_guides — 테이블 신규</t>
        </is>
      </c>
      <c r="C161" s="10" t="inlineStr">
        <is>
          <t>(없음) — 안내문은 분석 때마다 guides에 만들었음</t>
        </is>
      </c>
      <c r="D161" s="10" t="inlineStr">
        <is>
          <t>필드 10개: edi_code(PK), content, evidence_ids, prompt_ver, model_name, review_status, reviewed_by, reviewed_at, created_at, updated_at
사유: 멘토링 4회차(10/13) · 10/14 팀 합의 — 안내문을 약 단위로 미리 저장하고 사람이 확인한 것만 분석에 씀. 근거 번호와 출처를 같이 저장해 챗봇이 그대로 씀</t>
        </is>
      </c>
      <c r="E161" s="10" t="n"/>
    </row>
    <row r="162" hidden="1" outlineLevel="1">
      <c r="A162" s="10" t="n"/>
      <c r="B162" s="10" t="inlineStr">
        <is>
          <t>FHIR 대응 탭 — drug_guides 행 추가</t>
        </is>
      </c>
      <c r="C162" s="10" t="inlineStr">
        <is>
          <t>79행</t>
        </is>
      </c>
      <c r="D162" s="10" t="inlineStr">
        <is>
          <t>80행 — drug_guides (테이블) · FHIR 외 (guides와 같음)</t>
        </is>
      </c>
      <c r="E162" s="10" t="n"/>
    </row>
    <row r="163" hidden="1" outlineLevel="1">
      <c r="A163" s="10" t="n"/>
      <c r="B163" s="10" t="inlineStr">
        <is>
          <t>입력 / ocr_jobs.duplicates — 필드 추가</t>
        </is>
      </c>
      <c r="C163" s="10" t="inlineStr">
        <is>
          <t>(없음)</t>
        </is>
      </c>
      <c r="D163" s="10" t="inlineStr">
        <is>
          <t>duplicates jsonb · N · 이미 있는 처방전이라 새로 저장하지 않은 사진 [{fileIndex, prescriptionId}] (10/14 중복 처방전 처리)</t>
        </is>
      </c>
      <c r="E163" s="10" t="n"/>
    </row>
    <row r="164" hidden="1" outlineLevel="1">
      <c r="A164" s="10" t="n"/>
      <c r="B164" s="10" t="inlineStr">
        <is>
          <t>입력 / prescriptions.content_key — 필드 추가</t>
        </is>
      </c>
      <c r="C164" s="10" t="inlineStr">
        <is>
          <t>(없음)</t>
        </is>
      </c>
      <c r="D164" s="10" t="inlineStr">
        <is>
          <t>content_key varchar(64) · N · 같은 처방전인지 가리는 해시 (병원, 교부일, 약 목록)</t>
        </is>
      </c>
      <c r="E164" s="10" t="n"/>
    </row>
    <row r="165" hidden="1" outlineLevel="1">
      <c r="A165" s="10" t="n"/>
      <c r="B165" s="10" t="inlineStr">
        <is>
          <t>입력 / prescription_items.suggested_by — 필드 추가</t>
        </is>
      </c>
      <c r="C165" s="10" t="inlineStr">
        <is>
          <t>(없음)</t>
        </is>
      </c>
      <c r="D165" s="10" t="inlineStr">
        <is>
          <t>suggested_by varchar(20) · N · 후보가 추천에서 왔을 때 similar 또는 llm</t>
        </is>
      </c>
      <c r="E165" s="10" t="n"/>
    </row>
    <row r="166" hidden="1" outlineLevel="1">
      <c r="A166" s="10" t="n"/>
      <c r="B166" s="10" t="inlineStr">
        <is>
          <t>분석 / analysis_warnings.detail — 필드 추가</t>
        </is>
      </c>
      <c r="C166" s="10" t="inlineStr">
        <is>
          <t>(없음)</t>
        </is>
      </c>
      <c r="D166" s="10" t="inlineStr">
        <is>
          <t>detail jsonb · N · 약이 3개 이상인 경고의 전체 항목 번호, 성분, 근거 구분</t>
        </is>
      </c>
      <c r="E166" s="10" t="n"/>
    </row>
    <row r="167" hidden="1" outlineLevel="1">
      <c r="A167" s="10" t="n"/>
      <c r="B167" s="10" t="inlineStr">
        <is>
          <t>챗봇 / chat_sessions.safety_mode_until — 필드 추가 (이슈 #88)</t>
        </is>
      </c>
      <c r="C167" s="10" t="inlineStr">
        <is>
          <t>(없음)</t>
        </is>
      </c>
      <c r="D167" s="10" t="inlineStr">
        <is>
          <t>safety_mode_until timestamp · N · 자해 표현 뒤 안전 모드가 끝나는 시각</t>
        </is>
      </c>
      <c r="E167" s="10" t="n"/>
    </row>
    <row r="168" hidden="1" outlineLevel="1">
      <c r="A168" s="10" t="n"/>
      <c r="B168" s="10" t="inlineStr">
        <is>
          <t>챗봇 / chat_messages.safety_card, status, model, prompt_tokens, completion_tokens, latency_ms — 필드 추가 (이슈 #88)</t>
        </is>
      </c>
      <c r="C168" s="10" t="inlineStr">
        <is>
          <t>(없음)</t>
        </is>
      </c>
      <c r="D168" s="10" t="inlineStr">
        <is>
          <t>6개 필드 (status는 Y, 기본값 'done'). 수인 10/12 확정</t>
        </is>
      </c>
      <c r="E168" s="10" t="n"/>
    </row>
    <row r="169" hidden="1" outlineLevel="1">
      <c r="A169" s="10" t="n"/>
      <c r="B169" s="10" t="inlineStr">
        <is>
          <t>FHIR 대응 탭 — 위 필드 행 추가</t>
        </is>
      </c>
      <c r="C169" s="10" t="inlineStr">
        <is>
          <t>(해당 없음)</t>
        </is>
      </c>
      <c r="D169" s="10" t="inlineStr">
        <is>
          <t>ocr_jobs.duplicates, prescriptions.content_key, prescription_items.suggested_by, analysis_warnings.detail, 챗봇 6개 필드 대응 행 추가</t>
        </is>
      </c>
      <c r="E169" s="10" t="n"/>
    </row>
    <row r="170" hidden="1" outlineLevel="1">
      <c r="A170" s="10" t="n"/>
      <c r="B170" s="10" t="inlineStr">
        <is>
          <t>사용자 / user_health_profiles: 테이블 신규 (이슈 #101)</t>
        </is>
      </c>
      <c r="C170" s="10" t="inlineStr">
        <is>
          <t>(없음)</t>
        </is>
      </c>
      <c r="D170" s="10" t="inlineStr">
        <is>
          <t>필드 11개: user_id(PK, users와 1:1), smoking, drinking, diseases, pregnant, dialysis, height_cm, weight_kg, upcoming_exams, created_at, updated_at
사유: 4회차 멘토링(건강 정보는 회원가입과 내 정보에서 받아 DB에), 10/14 회의 3번과 디코. 음주, 흡연 값은 국민건강영양조사 문항 기준 (10/19 수인, 채연 확인 필요)</t>
        </is>
      </c>
      <c r="E170" s="10" t="n"/>
    </row>
    <row r="171" hidden="1" outlineLevel="1">
      <c r="A171" s="10" t="n"/>
      <c r="B171" s="10" t="inlineStr">
        <is>
          <t>FHIR 대응 탭: user_health_profiles 행 추가</t>
        </is>
      </c>
      <c r="C171" s="10" t="inlineStr">
        <is>
          <t>90행</t>
        </is>
      </c>
      <c r="D171" s="10" t="inlineStr">
        <is>
          <t>91행: user_health_profiles (테이블), 변환 (코드 대응은 확인 전)</t>
        </is>
      </c>
      <c r="E171" s="10" t="n"/>
    </row>
    <row r="172" hidden="1" outlineLevel="1">
      <c r="A172" s="10" t="n"/>
      <c r="B172" s="10" t="inlineStr">
        <is>
          <t>분석 / analyses.health_snapshot: 필드 추가 (이슈 #101)</t>
        </is>
      </c>
      <c r="C172" s="10" t="inlineStr">
        <is>
          <t>(없음)</t>
        </is>
      </c>
      <c r="D172" s="10" t="inlineStr">
        <is>
          <t>health_snapshot jsonb, N, 분석 시점 건강 정보 스냅샷. 정보를 고쳐도 지난 결과는 그대로 (10/14 회의 3번 채연 안)</t>
        </is>
      </c>
      <c r="E172" s="10" t="n"/>
    </row>
  </sheetData>
  <mergeCells count="8">
    <mergeCell ref="A2:E2"/>
    <mergeCell ref="C94:D94"/>
    <mergeCell ref="C5:D5"/>
    <mergeCell ref="A1:E1"/>
    <mergeCell ref="C111:D111"/>
    <mergeCell ref="C88:D88"/>
    <mergeCell ref="C3:D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0" customWidth="1" min="4" max="4"/>
    <col width="11" customWidth="1" min="5" max="5"/>
    <col width="11" customWidth="1" min="6" max="6"/>
  </cols>
  <sheetData>
    <row r="1">
      <c r="A1" s="41" t="inlineStr">
        <is>
          <t>ERD v1.3 · 5팀 · 진료 기록 기반 복약 안내 및 생활습관 개선 가이드 자동 생성 시스템</t>
        </is>
      </c>
    </row>
    <row r="2">
      <c r="A2" s="42" t="inlineStr">
        <is>
          <t>작성 2026-09-24 · 영역별로 담당자가 관리 · 테이블 수 · 필드 수는 각 탭에서 자동 집계 (행을 추가해도 반영됨)</t>
        </is>
      </c>
    </row>
    <row r="4">
      <c r="A4" s="13" t="inlineStr">
        <is>
          <t>탭</t>
        </is>
      </c>
      <c r="B4" s="13" t="inlineStr">
        <is>
          <t>담당 · 범위</t>
        </is>
      </c>
      <c r="C4" s="13" t="inlineStr">
        <is>
          <t>테이블</t>
        </is>
      </c>
      <c r="D4" s="13" t="inlineStr">
        <is>
          <t>필드</t>
        </is>
      </c>
      <c r="E4" s="13" t="inlineStr">
        <is>
          <t>신규 필드</t>
        </is>
      </c>
      <c r="F4" s="13" t="inlineStr">
        <is>
          <t>수정 필드</t>
        </is>
      </c>
    </row>
    <row r="5">
      <c r="A5" s="14" t="inlineStr">
        <is>
          <t>사용자</t>
        </is>
      </c>
      <c r="B5" s="15" t="inlineStr">
        <is>
          <t>수인 · 회원 · 동의</t>
        </is>
      </c>
      <c r="C5" s="16">
        <f>SUMPRODUCT(('사용자'!$A$5:$A$300&lt;&gt;"")/COUNTIF('사용자'!$A$5:$A$300,'사용자'!$A$5:$A$300&amp;""))</f>
        <v/>
      </c>
      <c r="D5" s="16">
        <f>COUNTA('사용자'!$C$5:$C$300)</f>
        <v/>
      </c>
      <c r="E5" s="16">
        <f>COUNTIF('사용자'!$L$5:$L$300,"신규")</f>
        <v/>
      </c>
      <c r="F5" s="16">
        <f>COUNTIF('사용자'!$L$5:$L$300,"수정")</f>
        <v/>
      </c>
    </row>
    <row r="6">
      <c r="A6" s="14" t="inlineStr">
        <is>
          <t>입력</t>
        </is>
      </c>
      <c r="B6" s="15" t="inlineStr">
        <is>
          <t>채연 · 처방전 · 약봉투 · OCR · 약품 매칭</t>
        </is>
      </c>
      <c r="C6" s="16">
        <f>SUMPRODUCT(('입력'!$A$5:$A$300&lt;&gt;"")/COUNTIF('입력'!$A$5:$A$300,'입력'!$A$5:$A$300&amp;""))</f>
        <v/>
      </c>
      <c r="D6" s="16">
        <f>COUNTA('입력'!$C$5:$C$300)</f>
        <v/>
      </c>
      <c r="E6" s="16">
        <f>COUNTIF('입력'!$L$5:$L$300,"신규")</f>
        <v/>
      </c>
      <c r="F6" s="16">
        <f>COUNTIF('입력'!$L$5:$L$300,"수정")</f>
        <v/>
      </c>
    </row>
    <row r="7">
      <c r="A7" s="14" t="inlineStr">
        <is>
          <t>분석</t>
        </is>
      </c>
      <c r="B7" s="15" t="inlineStr">
        <is>
          <t>채연 · 분석 작업 · 안전성 경고 · 안내문 · 피드백</t>
        </is>
      </c>
      <c r="C7" s="16">
        <f>SUMPRODUCT(('분석'!$A$5:$A$300&lt;&gt;"")/COUNTIF('분석'!$A$5:$A$300,'분석'!$A$5:$A$300&amp;""))</f>
        <v/>
      </c>
      <c r="D7" s="16">
        <f>COUNTA('분석'!$C$5:$C$300)</f>
        <v/>
      </c>
      <c r="E7" s="16">
        <f>COUNTIF('분석'!$L$5:$L$300,"신규")</f>
        <v/>
      </c>
      <c r="F7" s="16">
        <f>COUNTIF('분석'!$L$5:$L$300,"수정")</f>
        <v/>
      </c>
    </row>
    <row r="8">
      <c r="A8" s="14" t="inlineStr">
        <is>
          <t>챗봇</t>
        </is>
      </c>
      <c r="B8" s="15" t="inlineStr">
        <is>
          <t>수인 · 대화 · 메시지</t>
        </is>
      </c>
      <c r="C8" s="16">
        <f>SUMPRODUCT(('챗봇'!$A$5:$A$300&lt;&gt;"")/COUNTIF('챗봇'!$A$5:$A$300,'챗봇'!$A$5:$A$300&amp;""))</f>
        <v/>
      </c>
      <c r="D8" s="16">
        <f>COUNTA('챗봇'!$C$5:$C$300)</f>
        <v/>
      </c>
      <c r="E8" s="16">
        <f>COUNTIF('챗봇'!$L$5:$L$300,"신규")</f>
        <v/>
      </c>
      <c r="F8" s="16">
        <f>COUNTIF('챗봇'!$L$5:$L$300,"수정")</f>
        <v/>
      </c>
    </row>
    <row r="9">
      <c r="A9" s="14" t="inlineStr">
        <is>
          <t>실천·보상</t>
        </is>
      </c>
      <c r="B9" s="15" t="inlineStr">
        <is>
          <t>성규 · 추천 · 목표 · 기록 · 포인트</t>
        </is>
      </c>
      <c r="C9" s="16">
        <f>SUMPRODUCT(('실천·보상'!$A$5:$A$300&lt;&gt;"")/COUNTIF('실천·보상'!$A$5:$A$300,'실천·보상'!$A$5:$A$300&amp;""))</f>
        <v/>
      </c>
      <c r="D9" s="16">
        <f>COUNTA('실천·보상'!$C$5:$C$300)</f>
        <v/>
      </c>
      <c r="E9" s="16">
        <f>COUNTIF('실천·보상'!$L$5:$L$300,"신규")</f>
        <v/>
      </c>
      <c r="F9" s="16">
        <f>COUNTIF('실천·보상'!$L$5:$L$300,"수정")</f>
        <v/>
      </c>
    </row>
    <row r="10">
      <c r="A10" s="14" t="inlineStr">
        <is>
          <t>마스터</t>
        </is>
      </c>
      <c r="B10" s="15" t="inlineStr">
        <is>
          <t>채연 · 공공데이터 사전 적재 (의약품 · DUR · 중복 · 질병 · 생활습관)</t>
        </is>
      </c>
      <c r="C10" s="16">
        <f>SUMPRODUCT(('마스터'!$A$5:$A$300&lt;&gt;"")/COUNTIF('마스터'!$A$5:$A$300,'마스터'!$A$5:$A$300&amp;""))</f>
        <v/>
      </c>
      <c r="D10" s="16">
        <f>COUNTA('마스터'!$C$5:$C$300)</f>
        <v/>
      </c>
      <c r="E10" s="16">
        <f>COUNTIF('마스터'!$L$5:$L$300,"신규")</f>
        <v/>
      </c>
      <c r="F10" s="16">
        <f>COUNTIF('마스터'!$L$5:$L$300,"수정")</f>
        <v/>
      </c>
    </row>
    <row r="11">
      <c r="A11" s="17" t="inlineStr">
        <is>
          <t>합계</t>
        </is>
      </c>
      <c r="B11" s="17" t="inlineStr"/>
      <c r="C11" s="18">
        <f>SUM(C5:C10)</f>
        <v/>
      </c>
      <c r="D11" s="18">
        <f>SUM(D5:D10)</f>
        <v/>
      </c>
      <c r="E11" s="18">
        <f>SUM(E5:E10)</f>
        <v/>
      </c>
      <c r="F11" s="18">
        <f>SUM(F5:F10)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v1.3 · 사용자</t>
        </is>
      </c>
    </row>
    <row r="2">
      <c r="A2" s="42" t="inlineStr">
        <is>
          <t>수인 · 회원 · 동의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19" t="inlineStr">
        <is>
          <t>users</t>
        </is>
      </c>
      <c r="B5" s="15" t="inlineStr">
        <is>
          <t>회원</t>
        </is>
      </c>
      <c r="C5" s="15" t="inlineStr">
        <is>
          <t>id</t>
        </is>
      </c>
      <c r="D5" s="15" t="inlineStr">
        <is>
          <t>ID</t>
        </is>
      </c>
      <c r="E5" s="15" t="inlineStr">
        <is>
          <t>bigint</t>
        </is>
      </c>
      <c r="F5" s="16" t="inlineStr">
        <is>
          <t>PK</t>
        </is>
      </c>
      <c r="G5" s="15" t="inlineStr"/>
      <c r="H5" s="16" t="inlineStr">
        <is>
          <t>Y</t>
        </is>
      </c>
      <c r="I5" s="15" t="inlineStr"/>
      <c r="J5" s="15" t="inlineStr"/>
      <c r="K5" s="15" t="inlineStr">
        <is>
          <t>CM-01~07 · A-1~3 · U-1~3</t>
        </is>
      </c>
      <c r="L5" s="16" t="inlineStr">
        <is>
          <t>기존</t>
        </is>
      </c>
      <c r="M5" s="16" t="inlineStr">
        <is>
          <t>v0.1</t>
        </is>
      </c>
      <c r="N5" s="15" t="inlineStr">
        <is>
          <t>성명 · 주민번호 · 연락처 미수집</t>
        </is>
      </c>
    </row>
    <row r="6">
      <c r="A6" s="20" t="inlineStr">
        <is>
          <t>users</t>
        </is>
      </c>
      <c r="B6" s="21" t="inlineStr">
        <is>
          <t>회원</t>
        </is>
      </c>
      <c r="C6" s="21" t="inlineStr">
        <is>
          <t>login_id</t>
        </is>
      </c>
      <c r="D6" s="21" t="inlineStr">
        <is>
          <t>로그인 ID (이메일)</t>
        </is>
      </c>
      <c r="E6" s="21" t="inlineStr">
        <is>
          <t>varchar(100)</t>
        </is>
      </c>
      <c r="F6" s="22" t="inlineStr">
        <is>
          <t>UQ</t>
        </is>
      </c>
      <c r="G6" s="21" t="inlineStr"/>
      <c r="H6" s="22" t="inlineStr">
        <is>
          <t>Y</t>
        </is>
      </c>
      <c r="I6" s="21" t="inlineStr"/>
      <c r="J6" s="21" t="inlineStr">
        <is>
          <t>이메일</t>
        </is>
      </c>
      <c r="K6" s="21" t="inlineStr">
        <is>
          <t>CM-01~07 · A-1~3 · U-1~3</t>
        </is>
      </c>
      <c r="L6" s="22" t="inlineStr">
        <is>
          <t>수정</t>
        </is>
      </c>
      <c r="M6" s="22" t="inlineStr">
        <is>
          <t>v1.0</t>
        </is>
      </c>
      <c r="N6" s="21" t="inlineStr"/>
    </row>
    <row r="7">
      <c r="A7" s="20" t="inlineStr">
        <is>
          <t>users</t>
        </is>
      </c>
      <c r="B7" s="21" t="inlineStr">
        <is>
          <t>회원</t>
        </is>
      </c>
      <c r="C7" s="21" t="inlineStr">
        <is>
          <t>password_hash</t>
        </is>
      </c>
      <c r="D7" s="21" t="inlineStr">
        <is>
          <t>비밀번호 해시</t>
        </is>
      </c>
      <c r="E7" s="21" t="inlineStr">
        <is>
          <t>varchar(255)</t>
        </is>
      </c>
      <c r="F7" s="22" t="inlineStr"/>
      <c r="G7" s="21" t="inlineStr"/>
      <c r="H7" s="22" t="inlineStr">
        <is>
          <t>Y</t>
        </is>
      </c>
      <c r="I7" s="21" t="inlineStr"/>
      <c r="J7" s="21" t="inlineStr"/>
      <c r="K7" s="21" t="inlineStr">
        <is>
          <t>CM-01~07 · A-1~3 · U-1~3</t>
        </is>
      </c>
      <c r="L7" s="22" t="inlineStr">
        <is>
          <t>수정</t>
        </is>
      </c>
      <c r="M7" s="22" t="inlineStr">
        <is>
          <t>v1.0</t>
        </is>
      </c>
      <c r="N7" s="21" t="inlineStr"/>
    </row>
    <row r="8">
      <c r="A8" s="20" t="inlineStr">
        <is>
          <t>users</t>
        </is>
      </c>
      <c r="B8" s="21" t="inlineStr">
        <is>
          <t>회원</t>
        </is>
      </c>
      <c r="C8" s="21" t="inlineStr">
        <is>
          <t>birth_year</t>
        </is>
      </c>
      <c r="D8" s="21" t="inlineStr">
        <is>
          <t>출생연도</t>
        </is>
      </c>
      <c r="E8" s="21" t="inlineStr">
        <is>
          <t>smallint</t>
        </is>
      </c>
      <c r="F8" s="22" t="inlineStr"/>
      <c r="G8" s="21" t="inlineStr"/>
      <c r="H8" s="22" t="inlineStr">
        <is>
          <t>Y</t>
        </is>
      </c>
      <c r="I8" s="21" t="inlineStr"/>
      <c r="J8" s="21" t="inlineStr">
        <is>
          <t>생년월일 대신 출생연도만 (최소 수집) · 노인주의 · 연령금기 판정</t>
        </is>
      </c>
      <c r="K8" s="21" t="inlineStr">
        <is>
          <t>CM-01~07 · A-1~3 · U-1~3</t>
        </is>
      </c>
      <c r="L8" s="22" t="inlineStr">
        <is>
          <t>수정</t>
        </is>
      </c>
      <c r="M8" s="22" t="inlineStr">
        <is>
          <t>v1.0</t>
        </is>
      </c>
      <c r="N8" s="21" t="inlineStr"/>
    </row>
    <row r="9">
      <c r="A9" s="20" t="inlineStr">
        <is>
          <t>users</t>
        </is>
      </c>
      <c r="B9" s="21" t="inlineStr">
        <is>
          <t>회원</t>
        </is>
      </c>
      <c r="C9" s="21" t="inlineStr">
        <is>
          <t>sex</t>
        </is>
      </c>
      <c r="D9" s="21" t="inlineStr">
        <is>
          <t>성별</t>
        </is>
      </c>
      <c r="E9" s="21" t="inlineStr">
        <is>
          <t>varchar(1)</t>
        </is>
      </c>
      <c r="F9" s="22" t="inlineStr"/>
      <c r="G9" s="21" t="inlineStr"/>
      <c r="H9" s="22" t="inlineStr">
        <is>
          <t>Y</t>
        </is>
      </c>
      <c r="I9" s="21" t="inlineStr"/>
      <c r="J9" s="21" t="inlineStr">
        <is>
          <t>M / F</t>
        </is>
      </c>
      <c r="K9" s="21" t="inlineStr">
        <is>
          <t>CM-01~07 · A-1~3 · U-1~3</t>
        </is>
      </c>
      <c r="L9" s="22" t="inlineStr">
        <is>
          <t>수정</t>
        </is>
      </c>
      <c r="M9" s="22" t="inlineStr">
        <is>
          <t>v1.0</t>
        </is>
      </c>
      <c r="N9" s="21" t="inlineStr"/>
    </row>
    <row r="10">
      <c r="A10" s="23" t="inlineStr">
        <is>
          <t>users</t>
        </is>
      </c>
      <c r="B10" s="24" t="inlineStr">
        <is>
          <t>회원</t>
        </is>
      </c>
      <c r="C10" s="24" t="inlineStr">
        <is>
          <t>failed_login_count</t>
        </is>
      </c>
      <c r="D10" s="24" t="inlineStr">
        <is>
          <t>로그인 실패 횟수</t>
        </is>
      </c>
      <c r="E10" s="24" t="inlineStr">
        <is>
          <t>smallint</t>
        </is>
      </c>
      <c r="F10" s="25" t="inlineStr"/>
      <c r="G10" s="24" t="inlineStr"/>
      <c r="H10" s="25" t="inlineStr">
        <is>
          <t>N</t>
        </is>
      </c>
      <c r="I10" s="24" t="inlineStr">
        <is>
          <t>0</t>
        </is>
      </c>
      <c r="J10" s="24" t="inlineStr">
        <is>
          <t>5회 실패 시 잠금 (CM-01-E1)</t>
        </is>
      </c>
      <c r="K10" s="24" t="inlineStr">
        <is>
          <t>CM-01~07 · A-1~3 · U-1~3</t>
        </is>
      </c>
      <c r="L10" s="25" t="inlineStr">
        <is>
          <t>신규</t>
        </is>
      </c>
      <c r="M10" s="25" t="inlineStr">
        <is>
          <t>v1.0</t>
        </is>
      </c>
      <c r="N10" s="24" t="inlineStr"/>
    </row>
    <row r="11">
      <c r="A11" s="23" t="inlineStr">
        <is>
          <t>users</t>
        </is>
      </c>
      <c r="B11" s="24" t="inlineStr">
        <is>
          <t>회원</t>
        </is>
      </c>
      <c r="C11" s="24" t="inlineStr">
        <is>
          <t>locked_until</t>
        </is>
      </c>
      <c r="D11" s="24" t="inlineStr">
        <is>
          <t>잠금 해제 시각</t>
        </is>
      </c>
      <c r="E11" s="24" t="inlineStr">
        <is>
          <t>timestamp</t>
        </is>
      </c>
      <c r="F11" s="25" t="inlineStr"/>
      <c r="G11" s="24" t="inlineStr"/>
      <c r="H11" s="25" t="inlineStr">
        <is>
          <t>N</t>
        </is>
      </c>
      <c r="I11" s="24" t="inlineStr"/>
      <c r="J11" s="24" t="inlineStr">
        <is>
          <t>잠금 해제 시각 (CM-01-E2)</t>
        </is>
      </c>
      <c r="K11" s="24" t="inlineStr">
        <is>
          <t>CM-01~07 · A-1~3 · U-1~3</t>
        </is>
      </c>
      <c r="L11" s="25" t="inlineStr">
        <is>
          <t>신규</t>
        </is>
      </c>
      <c r="M11" s="25" t="inlineStr">
        <is>
          <t>v1.0</t>
        </is>
      </c>
      <c r="N11" s="24" t="inlineStr"/>
    </row>
    <row r="12">
      <c r="A12" s="19" t="inlineStr">
        <is>
          <t>users</t>
        </is>
      </c>
      <c r="B12" s="15" t="inlineStr">
        <is>
          <t>회원</t>
        </is>
      </c>
      <c r="C12" s="15" t="inlineStr">
        <is>
          <t>created_at</t>
        </is>
      </c>
      <c r="D12" s="15" t="inlineStr">
        <is>
          <t>생성 일시</t>
        </is>
      </c>
      <c r="E12" s="15" t="inlineStr">
        <is>
          <t>timestamp</t>
        </is>
      </c>
      <c r="F12" s="16" t="inlineStr"/>
      <c r="G12" s="15" t="inlineStr"/>
      <c r="H12" s="16" t="inlineStr">
        <is>
          <t>N</t>
        </is>
      </c>
      <c r="I12" s="15" t="inlineStr">
        <is>
          <t>now()</t>
        </is>
      </c>
      <c r="J12" s="15" t="inlineStr"/>
      <c r="K12" s="15" t="inlineStr">
        <is>
          <t>CM-01~07 · A-1~3 · U-1~3</t>
        </is>
      </c>
      <c r="L12" s="16" t="inlineStr">
        <is>
          <t>기존</t>
        </is>
      </c>
      <c r="M12" s="16" t="inlineStr">
        <is>
          <t>v0.1</t>
        </is>
      </c>
      <c r="N12" s="15" t="inlineStr"/>
    </row>
    <row r="13">
      <c r="A13" s="23" t="inlineStr">
        <is>
          <t>users</t>
        </is>
      </c>
      <c r="B13" s="24" t="inlineStr">
        <is>
          <t>회원</t>
        </is>
      </c>
      <c r="C13" s="24" t="inlineStr">
        <is>
          <t>updated_at</t>
        </is>
      </c>
      <c r="D13" s="24" t="inlineStr">
        <is>
          <t>수정 일시</t>
        </is>
      </c>
      <c r="E13" s="24" t="inlineStr">
        <is>
          <t>timestamp</t>
        </is>
      </c>
      <c r="F13" s="25" t="inlineStr"/>
      <c r="G13" s="24" t="inlineStr"/>
      <c r="H13" s="25" t="inlineStr">
        <is>
          <t>N</t>
        </is>
      </c>
      <c r="I13" s="24" t="inlineStr"/>
      <c r="J13" s="24" t="inlineStr"/>
      <c r="K13" s="24" t="inlineStr">
        <is>
          <t>CM-01~07 · A-1~3 · U-1~3</t>
        </is>
      </c>
      <c r="L13" s="25" t="inlineStr">
        <is>
          <t>신규</t>
        </is>
      </c>
      <c r="M13" s="25" t="inlineStr">
        <is>
          <t>v1.0</t>
        </is>
      </c>
      <c r="N13" s="24" t="inlineStr"/>
    </row>
    <row r="14">
      <c r="A14" s="20" t="inlineStr">
        <is>
          <t>users</t>
        </is>
      </c>
      <c r="B14" s="21" t="inlineStr">
        <is>
          <t>회원</t>
        </is>
      </c>
      <c r="C14" s="21" t="inlineStr">
        <is>
          <t>deleted_at</t>
        </is>
      </c>
      <c r="D14" s="21" t="inlineStr">
        <is>
          <t>탈퇴 일시</t>
        </is>
      </c>
      <c r="E14" s="21" t="inlineStr">
        <is>
          <t>timestamp</t>
        </is>
      </c>
      <c r="F14" s="22" t="inlineStr"/>
      <c r="G14" s="21" t="inlineStr"/>
      <c r="H14" s="22" t="inlineStr">
        <is>
          <t>N</t>
        </is>
      </c>
      <c r="I14" s="21" t="inlineStr"/>
      <c r="J14" s="21" t="inlineStr">
        <is>
          <t>탈퇴 시 개인정보 파기 후 시각만 남김 (CM-07)</t>
        </is>
      </c>
      <c r="K14" s="21" t="inlineStr">
        <is>
          <t>CM-01~07 · A-1~3 · U-1~3</t>
        </is>
      </c>
      <c r="L14" s="22" t="inlineStr">
        <is>
          <t>수정</t>
        </is>
      </c>
      <c r="M14" s="22" t="inlineStr">
        <is>
          <t>v1.0</t>
        </is>
      </c>
      <c r="N14" s="21" t="inlineStr"/>
    </row>
    <row r="15">
      <c r="A15" s="23" t="inlineStr">
        <is>
          <t>user_consents</t>
        </is>
      </c>
      <c r="B15" s="24" t="inlineStr">
        <is>
          <t>동의 기록</t>
        </is>
      </c>
      <c r="C15" s="24" t="inlineStr">
        <is>
          <t>id</t>
        </is>
      </c>
      <c r="D15" s="24" t="inlineStr">
        <is>
          <t>ID</t>
        </is>
      </c>
      <c r="E15" s="24" t="inlineStr">
        <is>
          <t>bigint</t>
        </is>
      </c>
      <c r="F15" s="25" t="inlineStr">
        <is>
          <t>PK</t>
        </is>
      </c>
      <c r="G15" s="24" t="inlineStr"/>
      <c r="H15" s="25" t="inlineStr">
        <is>
          <t>Y</t>
        </is>
      </c>
      <c r="I15" s="24" t="inlineStr"/>
      <c r="J15" s="24" t="inlineStr"/>
      <c r="K15" s="24" t="inlineStr">
        <is>
          <t>CM-02 · CM-05 · A-1 · U-4 · U-5</t>
        </is>
      </c>
      <c r="L15" s="25" t="inlineStr">
        <is>
          <t>신규</t>
        </is>
      </c>
      <c r="M15" s="25" t="inlineStr">
        <is>
          <t>v1.0</t>
        </is>
      </c>
      <c r="N15" s="24" t="inlineStr">
        <is>
          <t>v1.0 신규 · CM-02 가입 동의, CM-05 동의 내역</t>
        </is>
      </c>
    </row>
    <row r="16">
      <c r="A16" s="23" t="inlineStr">
        <is>
          <t>user_consents</t>
        </is>
      </c>
      <c r="B16" s="24" t="inlineStr">
        <is>
          <t>동의 기록</t>
        </is>
      </c>
      <c r="C16" s="24" t="inlineStr">
        <is>
          <t>user_id</t>
        </is>
      </c>
      <c r="D16" s="24" t="inlineStr">
        <is>
          <t>사용자 ID</t>
        </is>
      </c>
      <c r="E16" s="24" t="inlineStr">
        <is>
          <t>bigint</t>
        </is>
      </c>
      <c r="F16" s="25" t="inlineStr">
        <is>
          <t>FK</t>
        </is>
      </c>
      <c r="G16" s="24" t="inlineStr">
        <is>
          <t>users.id</t>
        </is>
      </c>
      <c r="H16" s="25" t="inlineStr">
        <is>
          <t>Y</t>
        </is>
      </c>
      <c r="I16" s="24" t="inlineStr"/>
      <c r="J16" s="24" t="inlineStr"/>
      <c r="K16" s="24" t="inlineStr">
        <is>
          <t>CM-02 · CM-05 · A-1 · U-4 · U-5</t>
        </is>
      </c>
      <c r="L16" s="25" t="inlineStr">
        <is>
          <t>신규</t>
        </is>
      </c>
      <c r="M16" s="25" t="inlineStr">
        <is>
          <t>v1.0</t>
        </is>
      </c>
      <c r="N16" s="24" t="inlineStr"/>
    </row>
    <row r="17">
      <c r="A17" s="23" t="inlineStr">
        <is>
          <t>user_consents</t>
        </is>
      </c>
      <c r="B17" s="24" t="inlineStr">
        <is>
          <t>동의 기록</t>
        </is>
      </c>
      <c r="C17" s="24" t="inlineStr">
        <is>
          <t>consent_type</t>
        </is>
      </c>
      <c r="D17" s="24" t="inlineStr">
        <is>
          <t>동의 종류</t>
        </is>
      </c>
      <c r="E17" s="24" t="inlineStr">
        <is>
          <t>varchar(30)</t>
        </is>
      </c>
      <c r="F17" s="25" t="inlineStr"/>
      <c r="G17" s="24" t="inlineStr"/>
      <c r="H17" s="25" t="inlineStr">
        <is>
          <t>Y</t>
        </is>
      </c>
      <c r="I17" s="24" t="inlineStr"/>
      <c r="J17" s="24" t="inlineStr">
        <is>
          <t>terms / privacy / sensitive_health</t>
        </is>
      </c>
      <c r="K17" s="24" t="inlineStr">
        <is>
          <t>CM-02 · CM-05 · A-1 · U-4 · U-5</t>
        </is>
      </c>
      <c r="L17" s="25" t="inlineStr">
        <is>
          <t>신규</t>
        </is>
      </c>
      <c r="M17" s="25" t="inlineStr">
        <is>
          <t>v1.0</t>
        </is>
      </c>
      <c r="N17" s="24" t="inlineStr"/>
    </row>
    <row r="18">
      <c r="A18" s="23" t="inlineStr">
        <is>
          <t>user_consents</t>
        </is>
      </c>
      <c r="B18" s="24" t="inlineStr">
        <is>
          <t>동의 기록</t>
        </is>
      </c>
      <c r="C18" s="24" t="inlineStr">
        <is>
          <t>agreed</t>
        </is>
      </c>
      <c r="D18" s="24" t="inlineStr">
        <is>
          <t>동의 여부</t>
        </is>
      </c>
      <c r="E18" s="24" t="inlineStr">
        <is>
          <t>boolean</t>
        </is>
      </c>
      <c r="F18" s="25" t="inlineStr"/>
      <c r="G18" s="24" t="inlineStr"/>
      <c r="H18" s="25" t="inlineStr">
        <is>
          <t>Y</t>
        </is>
      </c>
      <c r="I18" s="24" t="inlineStr"/>
      <c r="J18" s="24" t="inlineStr"/>
      <c r="K18" s="24" t="inlineStr">
        <is>
          <t>CM-02 · CM-05 · A-1 · U-4 · U-5</t>
        </is>
      </c>
      <c r="L18" s="25" t="inlineStr">
        <is>
          <t>신규</t>
        </is>
      </c>
      <c r="M18" s="25" t="inlineStr">
        <is>
          <t>v1.0</t>
        </is>
      </c>
      <c r="N18" s="24" t="inlineStr"/>
    </row>
    <row r="19">
      <c r="A19" s="23" t="inlineStr">
        <is>
          <t>user_consents</t>
        </is>
      </c>
      <c r="B19" s="24" t="inlineStr">
        <is>
          <t>동의 기록</t>
        </is>
      </c>
      <c r="C19" s="24" t="inlineStr">
        <is>
          <t>agreed_at</t>
        </is>
      </c>
      <c r="D19" s="24" t="inlineStr">
        <is>
          <t>동의 일시</t>
        </is>
      </c>
      <c r="E19" s="24" t="inlineStr">
        <is>
          <t>timestamp</t>
        </is>
      </c>
      <c r="F19" s="25" t="inlineStr"/>
      <c r="G19" s="24" t="inlineStr"/>
      <c r="H19" s="25" t="inlineStr">
        <is>
          <t>N</t>
        </is>
      </c>
      <c r="I19" s="24" t="inlineStr"/>
      <c r="J19" s="24" t="inlineStr"/>
      <c r="K19" s="24" t="inlineStr">
        <is>
          <t>CM-02 · CM-05 · A-1 · U-4 · U-5</t>
        </is>
      </c>
      <c r="L19" s="25" t="inlineStr">
        <is>
          <t>신규</t>
        </is>
      </c>
      <c r="M19" s="25" t="inlineStr">
        <is>
          <t>v1.0</t>
        </is>
      </c>
      <c r="N19" s="24" t="inlineStr"/>
    </row>
    <row r="20">
      <c r="A20" s="23" t="inlineStr">
        <is>
          <t>user_consents</t>
        </is>
      </c>
      <c r="B20" s="24" t="inlineStr">
        <is>
          <t>동의 기록</t>
        </is>
      </c>
      <c r="C20" s="24" t="inlineStr">
        <is>
          <t>withdrawn_at</t>
        </is>
      </c>
      <c r="D20" s="24" t="inlineStr">
        <is>
          <t>철회 일시</t>
        </is>
      </c>
      <c r="E20" s="24" t="inlineStr">
        <is>
          <t>timestamp</t>
        </is>
      </c>
      <c r="F20" s="25" t="inlineStr"/>
      <c r="G20" s="24" t="inlineStr"/>
      <c r="H20" s="25" t="inlineStr">
        <is>
          <t>N</t>
        </is>
      </c>
      <c r="I20" s="24" t="inlineStr"/>
      <c r="J20" s="24" t="inlineStr">
        <is>
          <t>철회 시각. sensitive_health 철회 시 업로드 · 분석 불가 (🟡 기존 기록 처리 팀 결정)</t>
        </is>
      </c>
      <c r="K20" s="24" t="inlineStr">
        <is>
          <t>CM-02 · CM-05 · A-1 · U-4 · U-5</t>
        </is>
      </c>
      <c r="L20" s="25" t="inlineStr">
        <is>
          <t>신규</t>
        </is>
      </c>
      <c r="M20" s="25" t="inlineStr">
        <is>
          <t>v1.0</t>
        </is>
      </c>
      <c r="N20" s="24" t="inlineStr">
        <is>
          <t>인덱스: (user_id, consent_type) [unique]</t>
        </is>
      </c>
    </row>
    <row r="21">
      <c r="A21" s="23" t="inlineStr">
        <is>
          <t>user_health_profiles</t>
        </is>
      </c>
      <c r="B21" s="24" t="inlineStr">
        <is>
          <t>건강 정보</t>
        </is>
      </c>
      <c r="C21" s="24" t="inlineStr">
        <is>
          <t>user_id</t>
        </is>
      </c>
      <c r="D21" s="24" t="inlineStr">
        <is>
          <t>사용자 ID</t>
        </is>
      </c>
      <c r="E21" s="24" t="inlineStr">
        <is>
          <t>bigint</t>
        </is>
      </c>
      <c r="F21" s="25" t="inlineStr">
        <is>
          <t>PK, FK</t>
        </is>
      </c>
      <c r="G21" s="24" t="inlineStr">
        <is>
          <t>users.id</t>
        </is>
      </c>
      <c r="H21" s="25" t="inlineStr">
        <is>
          <t>Y</t>
        </is>
      </c>
      <c r="I21" s="24" t="n"/>
      <c r="J21" s="24" t="inlineStr">
        <is>
          <t>users와 1:1. 가입 때 함께 만듦</t>
        </is>
      </c>
      <c r="K21" s="24" t="inlineStr">
        <is>
          <t>CM-02, CM-05, CM-06, A-1, U-1, U-2, U-3, U-5</t>
        </is>
      </c>
      <c r="L21" s="25" t="inlineStr">
        <is>
          <t>신규</t>
        </is>
      </c>
      <c r="M21" s="25" t="inlineStr">
        <is>
          <t>v1.5</t>
        </is>
      </c>
      <c r="N21" s="24" t="inlineStr">
        <is>
          <t>v1.5 신규. 민감정보(sensitive_health 동의 범위). 동의 철회(U-5), 탈퇴(U-3) 때 줄째 삭제 (탈퇴는 users 행을 남기므로 따로 지움)</t>
        </is>
      </c>
    </row>
    <row r="22">
      <c r="A22" s="23" t="inlineStr">
        <is>
          <t>user_health_profiles</t>
        </is>
      </c>
      <c r="B22" s="24" t="inlineStr">
        <is>
          <t>건강 정보</t>
        </is>
      </c>
      <c r="C22" s="24" t="inlineStr">
        <is>
          <t>smoking</t>
        </is>
      </c>
      <c r="D22" s="24" t="inlineStr">
        <is>
          <t>흡연</t>
        </is>
      </c>
      <c r="E22" s="24" t="inlineStr">
        <is>
          <t>varchar(20)</t>
        </is>
      </c>
      <c r="F22" s="25" t="n"/>
      <c r="G22" s="24" t="n"/>
      <c r="H22" s="25" t="inlineStr">
        <is>
          <t>Y</t>
        </is>
      </c>
      <c r="I22" s="24" t="n"/>
      <c r="J22" s="24" t="inlineStr">
        <is>
          <t>daily / sometimes / past / never / unknown. 국민건강영양조사 BS3_1에 "잘 모르겠어요"를 더함. 가입 때 필수 (10/19 수인, 채연 확인 필요)</t>
        </is>
      </c>
      <c r="K22" s="24" t="inlineStr">
        <is>
          <t>CM-02, CM-05, CM-06, A-1, U-1, U-2, U-3, U-5</t>
        </is>
      </c>
      <c r="L22" s="25" t="inlineStr">
        <is>
          <t>신규</t>
        </is>
      </c>
      <c r="M22" s="25" t="inlineStr">
        <is>
          <t>v1.5</t>
        </is>
      </c>
      <c r="N22" s="24" t="n"/>
    </row>
    <row r="23">
      <c r="A23" s="23" t="inlineStr">
        <is>
          <t>user_health_profiles</t>
        </is>
      </c>
      <c r="B23" s="24" t="inlineStr">
        <is>
          <t>건강 정보</t>
        </is>
      </c>
      <c r="C23" s="24" t="inlineStr">
        <is>
          <t>drinking</t>
        </is>
      </c>
      <c r="D23" s="24" t="inlineStr">
        <is>
          <t>음주 빈도</t>
        </is>
      </c>
      <c r="E23" s="24" t="inlineStr">
        <is>
          <t>varchar(20)</t>
        </is>
      </c>
      <c r="F23" s="25" t="n"/>
      <c r="G23" s="24" t="n"/>
      <c r="H23" s="25" t="inlineStr">
        <is>
          <t>Y</t>
        </is>
      </c>
      <c r="I23" s="24" t="n"/>
      <c r="J23" s="24" t="inlineStr">
        <is>
          <t>none / lt_monthly / monthly / 2_4_monthly / 2_3_weekly / 4plus_weekly / unknown. 국민건강영양조사 BD1_11(최근 1년 음주 빈도)에 "잘 모르겠어요"를 더함. 가입 때 필수 (10/19 수인, 채연 확인 필요)</t>
        </is>
      </c>
      <c r="K23" s="24" t="inlineStr">
        <is>
          <t>CM-02, CM-05, CM-06, A-1, U-1, U-2, U-3, U-5</t>
        </is>
      </c>
      <c r="L23" s="25" t="inlineStr">
        <is>
          <t>신규</t>
        </is>
      </c>
      <c r="M23" s="25" t="inlineStr">
        <is>
          <t>v1.5</t>
        </is>
      </c>
      <c r="N23" s="24" t="n"/>
    </row>
    <row r="24">
      <c r="A24" s="23" t="inlineStr">
        <is>
          <t>user_health_profiles</t>
        </is>
      </c>
      <c r="B24" s="24" t="inlineStr">
        <is>
          <t>건강 정보</t>
        </is>
      </c>
      <c r="C24" s="24" t="inlineStr">
        <is>
          <t>diseases</t>
        </is>
      </c>
      <c r="D24" s="24" t="inlineStr">
        <is>
          <t>질환</t>
        </is>
      </c>
      <c r="E24" s="24" t="inlineStr">
        <is>
          <t>jsonb</t>
        </is>
      </c>
      <c r="F24" s="25" t="n"/>
      <c r="G24" s="24" t="n"/>
      <c r="H24" s="25" t="inlineStr">
        <is>
          <t>Y</t>
        </is>
      </c>
      <c r="I24" s="24" t="n"/>
      <c r="J24" s="24" t="inlineStr">
        <is>
          <t>빈 목록은 앱이 넣음(DB 기본값 없음). 생활습관 질환 lifestyle_diseases.id 목록(HTN, DM2, DLP, CKD, IHD, STROKE, AF, COPD, OP, OA. 10/14 회의 3번 채연 안). 내 정보에서 선택. 분석은 처방전에 질병분류기호가 없을 때만 이 값으로 채움(출처 profile, 팩트표 kcd로 이음). 챗봇은 둘 다 씀 (10/19 수인 제안, 채연 확인 필요)</t>
        </is>
      </c>
      <c r="K24" s="24" t="inlineStr">
        <is>
          <t>CM-02, CM-05, CM-06, A-1, U-1, U-2, U-3, U-5</t>
        </is>
      </c>
      <c r="L24" s="25" t="inlineStr">
        <is>
          <t>신규</t>
        </is>
      </c>
      <c r="M24" s="25" t="inlineStr">
        <is>
          <t>v1.5</t>
        </is>
      </c>
      <c r="N24" s="24" t="n"/>
    </row>
    <row r="25">
      <c r="A25" s="23" t="inlineStr">
        <is>
          <t>user_health_profiles</t>
        </is>
      </c>
      <c r="B25" s="24" t="inlineStr">
        <is>
          <t>건강 정보</t>
        </is>
      </c>
      <c r="C25" s="24" t="inlineStr">
        <is>
          <t>pregnant</t>
        </is>
      </c>
      <c r="D25" s="24" t="inlineStr">
        <is>
          <t>임신 여부</t>
        </is>
      </c>
      <c r="E25" s="24" t="inlineStr">
        <is>
          <t>varchar(10)</t>
        </is>
      </c>
      <c r="F25" s="25" t="n"/>
      <c r="G25" s="24" t="n"/>
      <c r="H25" s="25" t="inlineStr">
        <is>
          <t>N</t>
        </is>
      </c>
      <c r="I25" s="24" t="n"/>
      <c r="J25" s="24" t="inlineStr">
        <is>
          <t>yes / no. 여성만 내 정보에서 선택. 성별을 M으로 바꾸면 비움. 비어 있으면 임신 금기 점검을 건너뛰고 결과에 알림 (10/14 디코)</t>
        </is>
      </c>
      <c r="K25" s="24" t="inlineStr">
        <is>
          <t>CM-02, CM-05, CM-06, A-1, U-1, U-2, U-3, U-5</t>
        </is>
      </c>
      <c r="L25" s="25" t="inlineStr">
        <is>
          <t>신규</t>
        </is>
      </c>
      <c r="M25" s="25" t="inlineStr">
        <is>
          <t>v1.5</t>
        </is>
      </c>
      <c r="N25" s="24" t="n"/>
    </row>
    <row r="26">
      <c r="A26" s="23" t="inlineStr">
        <is>
          <t>user_health_profiles</t>
        </is>
      </c>
      <c r="B26" s="24" t="inlineStr">
        <is>
          <t>건강 정보</t>
        </is>
      </c>
      <c r="C26" s="24" t="inlineStr">
        <is>
          <t>dialysis</t>
        </is>
      </c>
      <c r="D26" s="24" t="inlineStr">
        <is>
          <t>투석 여부</t>
        </is>
      </c>
      <c r="E26" s="24" t="inlineStr">
        <is>
          <t>varchar(10)</t>
        </is>
      </c>
      <c r="F26" s="25" t="n"/>
      <c r="G26" s="24" t="n"/>
      <c r="H26" s="25" t="inlineStr">
        <is>
          <t>N</t>
        </is>
      </c>
      <c r="I26" s="24" t="n"/>
      <c r="J26" s="24" t="inlineStr">
        <is>
          <t>yes / no / unknown. 팩트표 applies_when: dialysis (10/8 디코 채연 제안, 10/19 받기로 함)</t>
        </is>
      </c>
      <c r="K26" s="24" t="inlineStr">
        <is>
          <t>CM-02, CM-05, CM-06, A-1, U-1, U-2, U-3, U-5</t>
        </is>
      </c>
      <c r="L26" s="25" t="inlineStr">
        <is>
          <t>신규</t>
        </is>
      </c>
      <c r="M26" s="25" t="inlineStr">
        <is>
          <t>v1.5</t>
        </is>
      </c>
      <c r="N26" s="24" t="n"/>
    </row>
    <row r="27">
      <c r="A27" s="23" t="inlineStr">
        <is>
          <t>user_health_profiles</t>
        </is>
      </c>
      <c r="B27" s="24" t="inlineStr">
        <is>
          <t>건강 정보</t>
        </is>
      </c>
      <c r="C27" s="24" t="inlineStr">
        <is>
          <t>height_cm</t>
        </is>
      </c>
      <c r="D27" s="24" t="inlineStr">
        <is>
          <t>키 (cm)</t>
        </is>
      </c>
      <c r="E27" s="24" t="inlineStr">
        <is>
          <t>smallint</t>
        </is>
      </c>
      <c r="F27" s="25" t="n"/>
      <c r="G27" s="24" t="n"/>
      <c r="H27" s="25" t="inlineStr">
        <is>
          <t>N</t>
        </is>
      </c>
      <c r="I27" s="24" t="n"/>
      <c r="J27" s="24" t="inlineStr">
        <is>
          <t>내 정보에서 선택 (10/14 디코)</t>
        </is>
      </c>
      <c r="K27" s="24" t="inlineStr">
        <is>
          <t>CM-02, CM-05, CM-06, A-1, U-1, U-2, U-3, U-5</t>
        </is>
      </c>
      <c r="L27" s="25" t="inlineStr">
        <is>
          <t>신규</t>
        </is>
      </c>
      <c r="M27" s="25" t="inlineStr">
        <is>
          <t>v1.5</t>
        </is>
      </c>
      <c r="N27" s="24" t="n"/>
    </row>
    <row r="28">
      <c r="A28" s="23" t="inlineStr">
        <is>
          <t>user_health_profiles</t>
        </is>
      </c>
      <c r="B28" s="24" t="inlineStr">
        <is>
          <t>건강 정보</t>
        </is>
      </c>
      <c r="C28" s="24" t="inlineStr">
        <is>
          <t>weight_kg</t>
        </is>
      </c>
      <c r="D28" s="24" t="inlineStr">
        <is>
          <t>몸무게 (kg)</t>
        </is>
      </c>
      <c r="E28" s="24" t="inlineStr">
        <is>
          <t>numeric(4,1)</t>
        </is>
      </c>
      <c r="F28" s="25" t="n"/>
      <c r="G28" s="24" t="n"/>
      <c r="H28" s="25" t="inlineStr">
        <is>
          <t>N</t>
        </is>
      </c>
      <c r="I28" s="24" t="n"/>
      <c r="J28" s="24" t="inlineStr">
        <is>
          <t>내 정보에서 선택 (10/14 디코)</t>
        </is>
      </c>
      <c r="K28" s="24" t="inlineStr">
        <is>
          <t>CM-02, CM-05, CM-06, A-1, U-1, U-2, U-3, U-5</t>
        </is>
      </c>
      <c r="L28" s="25" t="inlineStr">
        <is>
          <t>신규</t>
        </is>
      </c>
      <c r="M28" s="25" t="inlineStr">
        <is>
          <t>v1.5</t>
        </is>
      </c>
      <c r="N28" s="24" t="n"/>
    </row>
    <row r="29">
      <c r="A29" s="23" t="inlineStr">
        <is>
          <t>user_health_profiles</t>
        </is>
      </c>
      <c r="B29" s="24" t="inlineStr">
        <is>
          <t>건강 정보</t>
        </is>
      </c>
      <c r="C29" s="24" t="inlineStr">
        <is>
          <t>upcoming_exams</t>
        </is>
      </c>
      <c r="D29" s="24" t="inlineStr">
        <is>
          <t>예정 검사</t>
        </is>
      </c>
      <c r="E29" s="24" t="inlineStr">
        <is>
          <t>jsonb</t>
        </is>
      </c>
      <c r="F29" s="25" t="n"/>
      <c r="G29" s="24" t="n"/>
      <c r="H29" s="25" t="inlineStr">
        <is>
          <t>Y</t>
        </is>
      </c>
      <c r="I29" s="24" t="n"/>
      <c r="J29" s="24" t="inlineStr">
        <is>
          <t>빈 목록은 앱이 넣음(DB 기본값 없음). [{ name, date }]. name은 50자 이내, date는 YYYY-MM-DD. 내 정보에서 선택 (10/14 회의 3번)</t>
        </is>
      </c>
      <c r="K29" s="24" t="inlineStr">
        <is>
          <t>CM-02, CM-05, CM-06, A-1, U-1, U-2, U-3, U-5</t>
        </is>
      </c>
      <c r="L29" s="25" t="inlineStr">
        <is>
          <t>신규</t>
        </is>
      </c>
      <c r="M29" s="25" t="inlineStr">
        <is>
          <t>v1.5</t>
        </is>
      </c>
      <c r="N29" s="24" t="n"/>
    </row>
    <row r="30">
      <c r="A30" s="23" t="inlineStr">
        <is>
          <t>user_health_profiles</t>
        </is>
      </c>
      <c r="B30" s="24" t="inlineStr">
        <is>
          <t>건강 정보</t>
        </is>
      </c>
      <c r="C30" s="24" t="inlineStr">
        <is>
          <t>created_at</t>
        </is>
      </c>
      <c r="D30" s="24" t="inlineStr">
        <is>
          <t>생성 일시</t>
        </is>
      </c>
      <c r="E30" s="24" t="inlineStr">
        <is>
          <t>timestamp</t>
        </is>
      </c>
      <c r="F30" s="25" t="n"/>
      <c r="G30" s="24" t="n"/>
      <c r="H30" s="25" t="inlineStr">
        <is>
          <t>N</t>
        </is>
      </c>
      <c r="I30" s="24" t="inlineStr">
        <is>
          <t>now()</t>
        </is>
      </c>
      <c r="J30" s="24" t="n"/>
      <c r="K30" s="24" t="inlineStr">
        <is>
          <t>CM-02, CM-05, CM-06, A-1, U-1, U-2, U-3, U-5</t>
        </is>
      </c>
      <c r="L30" s="25" t="inlineStr">
        <is>
          <t>신규</t>
        </is>
      </c>
      <c r="M30" s="25" t="inlineStr">
        <is>
          <t>v1.5</t>
        </is>
      </c>
      <c r="N30" s="24" t="n"/>
    </row>
    <row r="31">
      <c r="A31" s="23" t="inlineStr">
        <is>
          <t>user_health_profiles</t>
        </is>
      </c>
      <c r="B31" s="24" t="inlineStr">
        <is>
          <t>건강 정보</t>
        </is>
      </c>
      <c r="C31" s="24" t="inlineStr">
        <is>
          <t>updated_at</t>
        </is>
      </c>
      <c r="D31" s="24" t="inlineStr">
        <is>
          <t>수정 일시</t>
        </is>
      </c>
      <c r="E31" s="24" t="inlineStr">
        <is>
          <t>timestamp</t>
        </is>
      </c>
      <c r="F31" s="25" t="n"/>
      <c r="G31" s="24" t="n"/>
      <c r="H31" s="25" t="inlineStr">
        <is>
          <t>N</t>
        </is>
      </c>
      <c r="I31" s="24" t="n"/>
      <c r="J31" s="24" t="n"/>
      <c r="K31" s="24" t="inlineStr">
        <is>
          <t>CM-02, CM-05, CM-06, A-1, U-1, U-2, U-3, U-5</t>
        </is>
      </c>
      <c r="L31" s="25" t="inlineStr">
        <is>
          <t>신규</t>
        </is>
      </c>
      <c r="M31" s="25" t="inlineStr">
        <is>
          <t>v1.5</t>
        </is>
      </c>
      <c r="N31" s="24" t="n"/>
    </row>
  </sheetData>
  <autoFilter ref="A4:N21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v1.3 · 입력</t>
        </is>
      </c>
    </row>
    <row r="2">
      <c r="A2" s="42" t="inlineStr">
        <is>
          <t>채연 · 처방전 · 약봉투 · OCR · 약품 매칭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23" t="inlineStr">
        <is>
          <t>ocr_jobs</t>
        </is>
      </c>
      <c r="B5" s="24" t="inlineStr">
        <is>
          <t>OCR 작업</t>
        </is>
      </c>
      <c r="C5" s="24" t="inlineStr">
        <is>
          <t>id</t>
        </is>
      </c>
      <c r="D5" s="24" t="inlineStr">
        <is>
          <t>ID</t>
        </is>
      </c>
      <c r="E5" s="24" t="inlineStr">
        <is>
          <t>bigint</t>
        </is>
      </c>
      <c r="F5" s="25" t="inlineStr">
        <is>
          <t>PK</t>
        </is>
      </c>
      <c r="G5" s="24" t="n"/>
      <c r="H5" s="25" t="inlineStr">
        <is>
          <t>Y</t>
        </is>
      </c>
      <c r="I5" s="24" t="n"/>
      <c r="J5" s="24" t="n"/>
      <c r="K5" s="24" t="inlineStr">
        <is>
          <t>OC-01 · O-1 · O-5</t>
        </is>
      </c>
      <c r="L5" s="25" t="inlineStr">
        <is>
          <t>신규</t>
        </is>
      </c>
      <c r="M5" s="25" t="inlineStr">
        <is>
          <t>v1.2</t>
        </is>
      </c>
      <c r="N5" s="24" t="inlineStr">
        <is>
          <t>v1.2 신규 · O-1 업로드는 202 + 작업 ID 반환, O-5로 상태 조회 (NFR-001 P95 3초 · NFR-002)</t>
        </is>
      </c>
    </row>
    <row r="6">
      <c r="A6" s="23" t="inlineStr">
        <is>
          <t>ocr_jobs</t>
        </is>
      </c>
      <c r="B6" s="24" t="inlineStr">
        <is>
          <t>OCR 작업</t>
        </is>
      </c>
      <c r="C6" s="24" t="inlineStr">
        <is>
          <t>user_id</t>
        </is>
      </c>
      <c r="D6" s="24" t="inlineStr">
        <is>
          <t>사용자 ID</t>
        </is>
      </c>
      <c r="E6" s="24" t="inlineStr">
        <is>
          <t>bigint</t>
        </is>
      </c>
      <c r="F6" s="25" t="inlineStr">
        <is>
          <t>FK</t>
        </is>
      </c>
      <c r="G6" s="24" t="inlineStr">
        <is>
          <t>users.id</t>
        </is>
      </c>
      <c r="H6" s="25" t="inlineStr">
        <is>
          <t>Y</t>
        </is>
      </c>
      <c r="I6" s="24" t="n"/>
      <c r="J6" s="24" t="n"/>
      <c r="K6" s="24" t="inlineStr">
        <is>
          <t>OC-01 · O-1 · O-5</t>
        </is>
      </c>
      <c r="L6" s="25" t="inlineStr">
        <is>
          <t>신규</t>
        </is>
      </c>
      <c r="M6" s="25" t="inlineStr">
        <is>
          <t>v1.2</t>
        </is>
      </c>
      <c r="N6" s="24" t="n"/>
    </row>
    <row r="7">
      <c r="A7" s="23" t="inlineStr">
        <is>
          <t>ocr_jobs</t>
        </is>
      </c>
      <c r="B7" s="24" t="inlineStr">
        <is>
          <t>OCR 작업</t>
        </is>
      </c>
      <c r="C7" s="24" t="inlineStr">
        <is>
          <t>status</t>
        </is>
      </c>
      <c r="D7" s="24" t="inlineStr">
        <is>
          <t>상태</t>
        </is>
      </c>
      <c r="E7" s="24" t="inlineStr">
        <is>
          <t>varchar(20)</t>
        </is>
      </c>
      <c r="F7" s="25" t="n"/>
      <c r="G7" s="24" t="n"/>
      <c r="H7" s="25" t="inlineStr">
        <is>
          <t>Y</t>
        </is>
      </c>
      <c r="I7" s="24" t="n"/>
      <c r="J7" s="24" t="inlineStr">
        <is>
          <t>queued / running / done / failed</t>
        </is>
      </c>
      <c r="K7" s="24" t="inlineStr">
        <is>
          <t>OC-01 · O-1 · O-5</t>
        </is>
      </c>
      <c r="L7" s="25" t="inlineStr">
        <is>
          <t>신규</t>
        </is>
      </c>
      <c r="M7" s="25" t="inlineStr">
        <is>
          <t>v1.2</t>
        </is>
      </c>
      <c r="N7" s="24" t="n"/>
    </row>
    <row r="8">
      <c r="A8" s="23" t="inlineStr">
        <is>
          <t>ocr_jobs</t>
        </is>
      </c>
      <c r="B8" s="24" t="inlineStr">
        <is>
          <t>OCR 작업</t>
        </is>
      </c>
      <c r="C8" s="24" t="inlineStr">
        <is>
          <t>file_count</t>
        </is>
      </c>
      <c r="D8" s="24" t="inlineStr">
        <is>
          <t>사진 수</t>
        </is>
      </c>
      <c r="E8" s="24" t="inlineStr">
        <is>
          <t>smallint</t>
        </is>
      </c>
      <c r="F8" s="25" t="n"/>
      <c r="G8" s="24" t="n"/>
      <c r="H8" s="25" t="inlineStr">
        <is>
          <t>Y</t>
        </is>
      </c>
      <c r="I8" s="24" t="n"/>
      <c r="J8" s="24" t="inlineStr">
        <is>
          <t>한 번에 올린 사진 수 (최대 5)</t>
        </is>
      </c>
      <c r="K8" s="24" t="inlineStr">
        <is>
          <t>OC-01 · O-1 · O-5</t>
        </is>
      </c>
      <c r="L8" s="25" t="inlineStr">
        <is>
          <t>신규</t>
        </is>
      </c>
      <c r="M8" s="25" t="inlineStr">
        <is>
          <t>v1.2</t>
        </is>
      </c>
      <c r="N8" s="24" t="n"/>
    </row>
    <row r="9">
      <c r="A9" s="23" t="inlineStr">
        <is>
          <t>ocr_jobs</t>
        </is>
      </c>
      <c r="B9" s="24" t="inlineStr">
        <is>
          <t>OCR 작업</t>
        </is>
      </c>
      <c r="C9" s="24" t="inlineStr">
        <is>
          <t>error_code</t>
        </is>
      </c>
      <c r="D9" s="24" t="inlineStr">
        <is>
          <t>에러 코드</t>
        </is>
      </c>
      <c r="E9" s="24" t="inlineStr">
        <is>
          <t>varchar(50)</t>
        </is>
      </c>
      <c r="F9" s="25" t="n"/>
      <c r="G9" s="24" t="n"/>
      <c r="H9" s="25" t="inlineStr">
        <is>
          <t>N</t>
        </is>
      </c>
      <c r="I9" s="24" t="n"/>
      <c r="J9" s="24" t="inlineStr">
        <is>
          <t>전체 실패 시 OCR_FAILED 등</t>
        </is>
      </c>
      <c r="K9" s="24" t="inlineStr">
        <is>
          <t>OC-01 · O-1 · O-5</t>
        </is>
      </c>
      <c r="L9" s="25" t="inlineStr">
        <is>
          <t>신규</t>
        </is>
      </c>
      <c r="M9" s="25" t="inlineStr">
        <is>
          <t>v1.2</t>
        </is>
      </c>
      <c r="N9" s="24" t="n"/>
    </row>
    <row r="10">
      <c r="A10" s="23" t="inlineStr">
        <is>
          <t>ocr_jobs</t>
        </is>
      </c>
      <c r="B10" s="24" t="inlineStr">
        <is>
          <t>OCR 작업</t>
        </is>
      </c>
      <c r="C10" s="24" t="inlineStr">
        <is>
          <t>created_at</t>
        </is>
      </c>
      <c r="D10" s="24" t="inlineStr">
        <is>
          <t>생성 일시</t>
        </is>
      </c>
      <c r="E10" s="24" t="inlineStr">
        <is>
          <t>timestamp</t>
        </is>
      </c>
      <c r="F10" s="25" t="n"/>
      <c r="G10" s="24" t="n"/>
      <c r="H10" s="25" t="inlineStr">
        <is>
          <t>N</t>
        </is>
      </c>
      <c r="I10" s="24" t="inlineStr">
        <is>
          <t>now()</t>
        </is>
      </c>
      <c r="J10" s="24" t="n"/>
      <c r="K10" s="24" t="inlineStr">
        <is>
          <t>OC-01 · O-1 · O-5</t>
        </is>
      </c>
      <c r="L10" s="25" t="inlineStr">
        <is>
          <t>신규</t>
        </is>
      </c>
      <c r="M10" s="25" t="inlineStr">
        <is>
          <t>v1.2</t>
        </is>
      </c>
      <c r="N10" s="24" t="n"/>
    </row>
    <row r="11">
      <c r="A11" s="23" t="inlineStr">
        <is>
          <t>ocr_jobs</t>
        </is>
      </c>
      <c r="B11" s="24" t="inlineStr">
        <is>
          <t>OCR 작업</t>
        </is>
      </c>
      <c r="C11" s="24" t="inlineStr">
        <is>
          <t>finished_at</t>
        </is>
      </c>
      <c r="D11" s="24" t="inlineStr">
        <is>
          <t>종료 일시</t>
        </is>
      </c>
      <c r="E11" s="24" t="inlineStr">
        <is>
          <t>timestamp</t>
        </is>
      </c>
      <c r="F11" s="25" t="n"/>
      <c r="G11" s="24" t="n"/>
      <c r="H11" s="25" t="inlineStr">
        <is>
          <t>N</t>
        </is>
      </c>
      <c r="I11" s="24" t="n"/>
      <c r="J11" s="24" t="n"/>
      <c r="K11" s="24" t="inlineStr">
        <is>
          <t>OC-01 · O-1 · O-5</t>
        </is>
      </c>
      <c r="L11" s="25" t="inlineStr">
        <is>
          <t>신규</t>
        </is>
      </c>
      <c r="M11" s="25" t="inlineStr">
        <is>
          <t>v1.2</t>
        </is>
      </c>
      <c r="N11" s="24" t="n"/>
    </row>
    <row r="12">
      <c r="A12" s="23" t="inlineStr">
        <is>
          <t>ocr_jobs</t>
        </is>
      </c>
      <c r="B12" s="24" t="inlineStr">
        <is>
          <t>OCR 작업</t>
        </is>
      </c>
      <c r="C12" s="24" t="inlineStr">
        <is>
          <t>duplicates</t>
        </is>
      </c>
      <c r="D12" s="24" t="inlineStr">
        <is>
          <t>중복 사진</t>
        </is>
      </c>
      <c r="E12" s="24" t="inlineStr">
        <is>
          <t>jsonb</t>
        </is>
      </c>
      <c r="F12" s="25" t="n"/>
      <c r="G12" s="24" t="n"/>
      <c r="H12" s="25" t="inlineStr">
        <is>
          <t>N</t>
        </is>
      </c>
      <c r="I12" s="24" t="n"/>
      <c r="J12" s="24" t="inlineStr">
        <is>
          <t>이미 있는 처방전이라 새로 저장하지 않은 사진 [{fileIndex, prescriptionId}] (10/14 중복 처방전 처리). 없으면 null</t>
        </is>
      </c>
      <c r="K12" s="24" t="inlineStr">
        <is>
          <t>OC-01 / O-1 / O-5</t>
        </is>
      </c>
      <c r="L12" s="25" t="inlineStr">
        <is>
          <t>신규</t>
        </is>
      </c>
      <c r="M12" s="25" t="inlineStr">
        <is>
          <t>v1.5</t>
        </is>
      </c>
      <c r="N12" s="24" t="n"/>
    </row>
    <row r="13">
      <c r="A13" s="19" t="inlineStr">
        <is>
          <t>prescriptions</t>
        </is>
      </c>
      <c r="B13" s="15" t="inlineStr">
        <is>
          <t>처방전 · 약봉투</t>
        </is>
      </c>
      <c r="C13" s="15" t="inlineStr">
        <is>
          <t>id</t>
        </is>
      </c>
      <c r="D13" s="15" t="inlineStr">
        <is>
          <t>ID</t>
        </is>
      </c>
      <c r="E13" s="15" t="inlineStr">
        <is>
          <t>bigint</t>
        </is>
      </c>
      <c r="F13" s="16" t="inlineStr">
        <is>
          <t>PK</t>
        </is>
      </c>
      <c r="G13" s="15" t="n"/>
      <c r="H13" s="16" t="inlineStr">
        <is>
          <t>Y</t>
        </is>
      </c>
      <c r="I13" s="15" t="n"/>
      <c r="J13" s="15" t="n"/>
      <c r="K13" s="15" t="inlineStr">
        <is>
          <t>OC-01 · OC-02 · O-1 · O-2</t>
        </is>
      </c>
      <c r="L13" s="16" t="inlineStr">
        <is>
          <t>기존</t>
        </is>
      </c>
      <c r="M13" s="16" t="inlineStr">
        <is>
          <t>v0.1</t>
        </is>
      </c>
      <c r="N13" s="15" t="inlineStr">
        <is>
          <t>사진 1장 = 1행. 업로드된 원본 이미지는 OCR 처리 후 즉시 폐기</t>
        </is>
      </c>
    </row>
    <row r="14">
      <c r="A14" s="19" t="inlineStr">
        <is>
          <t>prescriptions</t>
        </is>
      </c>
      <c r="B14" s="15" t="inlineStr">
        <is>
          <t>처방전 · 약봉투</t>
        </is>
      </c>
      <c r="C14" s="15" t="inlineStr">
        <is>
          <t>user_id</t>
        </is>
      </c>
      <c r="D14" s="15" t="inlineStr">
        <is>
          <t>사용자 ID</t>
        </is>
      </c>
      <c r="E14" s="15" t="inlineStr">
        <is>
          <t>bigint</t>
        </is>
      </c>
      <c r="F14" s="16" t="inlineStr">
        <is>
          <t>FK</t>
        </is>
      </c>
      <c r="G14" s="15" t="inlineStr">
        <is>
          <t>users.id</t>
        </is>
      </c>
      <c r="H14" s="16" t="inlineStr">
        <is>
          <t>Y</t>
        </is>
      </c>
      <c r="I14" s="15" t="n"/>
      <c r="J14" s="15" t="n"/>
      <c r="K14" s="15" t="inlineStr">
        <is>
          <t>OC-01 · OC-02 · O-1 · O-2</t>
        </is>
      </c>
      <c r="L14" s="16" t="inlineStr">
        <is>
          <t>기존</t>
        </is>
      </c>
      <c r="M14" s="16" t="inlineStr">
        <is>
          <t>v0.1</t>
        </is>
      </c>
      <c r="N14" s="15" t="n"/>
    </row>
    <row r="15">
      <c r="A15" s="23" t="inlineStr">
        <is>
          <t>prescriptions</t>
        </is>
      </c>
      <c r="B15" s="24" t="inlineStr">
        <is>
          <t>처방전 · 약봉투</t>
        </is>
      </c>
      <c r="C15" s="24" t="inlineStr">
        <is>
          <t>ocr_job_id</t>
        </is>
      </c>
      <c r="D15" s="24" t="inlineStr">
        <is>
          <t>OCR 작업 ID</t>
        </is>
      </c>
      <c r="E15" s="24" t="inlineStr">
        <is>
          <t>bigint</t>
        </is>
      </c>
      <c r="F15" s="25" t="inlineStr">
        <is>
          <t>FK</t>
        </is>
      </c>
      <c r="G15" s="24" t="inlineStr">
        <is>
          <t>ocr_jobs.id</t>
        </is>
      </c>
      <c r="H15" s="25" t="inlineStr">
        <is>
          <t>N</t>
        </is>
      </c>
      <c r="I15" s="24" t="n"/>
      <c r="J15" s="24" t="inlineStr">
        <is>
          <t>어느 업로드 작업에서 나온 사진인지</t>
        </is>
      </c>
      <c r="K15" s="24" t="inlineStr">
        <is>
          <t>OC-01 · OC-02 · O-1 · O-2</t>
        </is>
      </c>
      <c r="L15" s="25" t="inlineStr">
        <is>
          <t>신규</t>
        </is>
      </c>
      <c r="M15" s="25" t="inlineStr">
        <is>
          <t>v1.2</t>
        </is>
      </c>
      <c r="N15" s="24" t="n"/>
    </row>
    <row r="16">
      <c r="A16" s="23" t="inlineStr">
        <is>
          <t>prescriptions</t>
        </is>
      </c>
      <c r="B16" s="24" t="inlineStr">
        <is>
          <t>처방전 · 약봉투</t>
        </is>
      </c>
      <c r="C16" s="24" t="inlineStr">
        <is>
          <t>file_index</t>
        </is>
      </c>
      <c r="D16" s="24" t="inlineStr">
        <is>
          <t>사진 순번</t>
        </is>
      </c>
      <c r="E16" s="24" t="inlineStr">
        <is>
          <t>smallint</t>
        </is>
      </c>
      <c r="F16" s="25" t="n"/>
      <c r="G16" s="24" t="n"/>
      <c r="H16" s="25" t="inlineStr">
        <is>
          <t>N</t>
        </is>
      </c>
      <c r="I16" s="24" t="n"/>
      <c r="J16" s="24" t="inlineStr">
        <is>
          <t>작업 안에서 몇 번째 사진인지 (실패 사진 안내용)</t>
        </is>
      </c>
      <c r="K16" s="24" t="inlineStr">
        <is>
          <t>OC-01 · OC-02 · O-1 · O-2</t>
        </is>
      </c>
      <c r="L16" s="25" t="inlineStr">
        <is>
          <t>신규</t>
        </is>
      </c>
      <c r="M16" s="25" t="inlineStr">
        <is>
          <t>v1.2</t>
        </is>
      </c>
      <c r="N16" s="24" t="n"/>
    </row>
    <row r="17">
      <c r="A17" s="23" t="inlineStr">
        <is>
          <t>prescriptions</t>
        </is>
      </c>
      <c r="B17" s="24" t="inlineStr">
        <is>
          <t>처방전 · 약봉투</t>
        </is>
      </c>
      <c r="C17" s="24" t="inlineStr">
        <is>
          <t>doc_type</t>
        </is>
      </c>
      <c r="D17" s="24" t="inlineStr">
        <is>
          <t>문서 종류</t>
        </is>
      </c>
      <c r="E17" s="24" t="inlineStr">
        <is>
          <t>varchar(20)</t>
        </is>
      </c>
      <c r="F17" s="25" t="n"/>
      <c r="G17" s="24" t="n"/>
      <c r="H17" s="25" t="inlineStr">
        <is>
          <t>Y</t>
        </is>
      </c>
      <c r="I17" s="24" t="n"/>
      <c r="J17" s="24" t="inlineStr">
        <is>
          <t>prescription(처방전) / pill_bag(약봉투). 약봉투는 질병코드 없음 → RG-05-E1</t>
        </is>
      </c>
      <c r="K17" s="24" t="inlineStr">
        <is>
          <t>OC-01 · OC-02 · O-1 · O-2</t>
        </is>
      </c>
      <c r="L17" s="25" t="inlineStr">
        <is>
          <t>신규</t>
        </is>
      </c>
      <c r="M17" s="25" t="inlineStr">
        <is>
          <t>v1.0</t>
        </is>
      </c>
      <c r="N17" s="24" t="n"/>
    </row>
    <row r="18">
      <c r="A18" s="19" t="inlineStr">
        <is>
          <t>prescriptions</t>
        </is>
      </c>
      <c r="B18" s="15" t="inlineStr">
        <is>
          <t>처방전 · 약봉투</t>
        </is>
      </c>
      <c r="C18" s="15" t="inlineStr">
        <is>
          <t>issued_date</t>
        </is>
      </c>
      <c r="D18" s="15" t="inlineStr">
        <is>
          <t>처방 교부일 · 조제일</t>
        </is>
      </c>
      <c r="E18" s="15" t="inlineStr">
        <is>
          <t>date</t>
        </is>
      </c>
      <c r="F18" s="16" t="n"/>
      <c r="G18" s="15" t="n"/>
      <c r="H18" s="16" t="inlineStr">
        <is>
          <t>N</t>
        </is>
      </c>
      <c r="I18" s="15" t="n"/>
      <c r="J18" s="15" t="inlineStr">
        <is>
          <t>처방 교부일 (약봉투는 조제일) — 약봉투에는 교부일이 없고, 조제일이 약을 받은 날</t>
        </is>
      </c>
      <c r="K18" s="15" t="inlineStr">
        <is>
          <t>OC-01 · OC-02 · O-1 · O-2</t>
        </is>
      </c>
      <c r="L18" s="16" t="inlineStr">
        <is>
          <t>수정</t>
        </is>
      </c>
      <c r="M18" s="16" t="inlineStr">
        <is>
          <t>v1.3</t>
        </is>
      </c>
      <c r="N18" s="15" t="n"/>
    </row>
    <row r="19">
      <c r="A19" s="19" t="inlineStr">
        <is>
          <t>prescriptions</t>
        </is>
      </c>
      <c r="B19" s="15" t="inlineStr">
        <is>
          <t>처방전 · 약봉투</t>
        </is>
      </c>
      <c r="C19" s="15" t="inlineStr">
        <is>
          <t>hospital_name</t>
        </is>
      </c>
      <c r="D19" s="15" t="inlineStr">
        <is>
          <t>병원 이름</t>
        </is>
      </c>
      <c r="E19" s="15" t="inlineStr">
        <is>
          <t>varchar(200)</t>
        </is>
      </c>
      <c r="F19" s="16" t="n"/>
      <c r="G19" s="15" t="n"/>
      <c r="H19" s="16" t="inlineStr">
        <is>
          <t>N</t>
        </is>
      </c>
      <c r="I19" s="15" t="n"/>
      <c r="J19" s="15" t="n"/>
      <c r="K19" s="15" t="inlineStr">
        <is>
          <t>OC-01 · OC-02 · O-1 · O-2</t>
        </is>
      </c>
      <c r="L19" s="16" t="inlineStr">
        <is>
          <t>기존</t>
        </is>
      </c>
      <c r="M19" s="16" t="inlineStr">
        <is>
          <t>v0.1</t>
        </is>
      </c>
      <c r="N19" s="15" t="n"/>
    </row>
    <row r="20">
      <c r="A20" s="20" t="inlineStr">
        <is>
          <t>prescriptions</t>
        </is>
      </c>
      <c r="B20" s="21" t="inlineStr">
        <is>
          <t>처방전 · 약봉투</t>
        </is>
      </c>
      <c r="C20" s="21" t="inlineStr">
        <is>
          <t>ocr_raw_text</t>
        </is>
      </c>
      <c r="D20" s="21" t="inlineStr">
        <is>
          <t>OCR 원문</t>
        </is>
      </c>
      <c r="E20" s="21" t="inlineStr">
        <is>
          <t>text</t>
        </is>
      </c>
      <c r="F20" s="22" t="n"/>
      <c r="G20" s="21" t="n"/>
      <c r="H20" s="22" t="inlineStr">
        <is>
          <t>N</t>
        </is>
      </c>
      <c r="I20" s="21" t="n"/>
      <c r="J20" s="21" t="inlineStr">
        <is>
          <t>OCR 원문 — 저장하지 않음 (10/15 결정, 칸은 남겨 두고 비워 둠) · 원본 이미지도 저장하지 않음</t>
        </is>
      </c>
      <c r="K20" s="21" t="inlineStr">
        <is>
          <t>OC-01 · OC-02 · O-1 · O-2</t>
        </is>
      </c>
      <c r="L20" s="22" t="inlineStr">
        <is>
          <t>수정</t>
        </is>
      </c>
      <c r="M20" s="22" t="inlineStr">
        <is>
          <t>v1.3</t>
        </is>
      </c>
      <c r="N20" s="21" t="n"/>
    </row>
    <row r="21">
      <c r="A21" s="19" t="inlineStr">
        <is>
          <t>prescriptions</t>
        </is>
      </c>
      <c r="B21" s="15" t="inlineStr">
        <is>
          <t>처방전 · 약봉투</t>
        </is>
      </c>
      <c r="C21" s="15" t="inlineStr">
        <is>
          <t>ocr_confidence</t>
        </is>
      </c>
      <c r="D21" s="15" t="inlineStr">
        <is>
          <t>OCR 신뢰도</t>
        </is>
      </c>
      <c r="E21" s="15" t="inlineStr">
        <is>
          <t>decimal(5,4)</t>
        </is>
      </c>
      <c r="F21" s="16" t="n"/>
      <c r="G21" s="15" t="n"/>
      <c r="H21" s="16" t="inlineStr">
        <is>
          <t>N</t>
        </is>
      </c>
      <c r="I21" s="15" t="n"/>
      <c r="J21" s="15" t="n"/>
      <c r="K21" s="15" t="inlineStr">
        <is>
          <t>OC-01 · OC-02 · O-1 · O-2</t>
        </is>
      </c>
      <c r="L21" s="16" t="inlineStr">
        <is>
          <t>기존</t>
        </is>
      </c>
      <c r="M21" s="16" t="inlineStr">
        <is>
          <t>v0.1</t>
        </is>
      </c>
      <c r="N21" s="15" t="n"/>
    </row>
    <row r="22">
      <c r="A22" s="23" t="inlineStr">
        <is>
          <t>prescriptions</t>
        </is>
      </c>
      <c r="B22" s="24" t="inlineStr">
        <is>
          <t>처방전 · 약봉투</t>
        </is>
      </c>
      <c r="C22" s="24" t="inlineStr">
        <is>
          <t>quality_flag</t>
        </is>
      </c>
      <c r="D22" s="24" t="inlineStr">
        <is>
          <t>사진 품질 표시</t>
        </is>
      </c>
      <c r="E22" s="24" t="inlineStr">
        <is>
          <t>varchar(20)</t>
        </is>
      </c>
      <c r="F22" s="25" t="n"/>
      <c r="G22" s="24" t="n"/>
      <c r="H22" s="25" t="inlineStr">
        <is>
          <t>N</t>
        </is>
      </c>
      <c r="I22" s="24" t="n"/>
      <c r="J22" s="24" t="inlineStr">
        <is>
          <t>ok / low (OC-01-E1에서 "그래도 계속 진행" 시)</t>
        </is>
      </c>
      <c r="K22" s="24" t="inlineStr">
        <is>
          <t>OC-01 · OC-02 · O-1 · O-2</t>
        </is>
      </c>
      <c r="L22" s="25" t="inlineStr">
        <is>
          <t>신규</t>
        </is>
      </c>
      <c r="M22" s="25" t="inlineStr">
        <is>
          <t>v1.0</t>
        </is>
      </c>
      <c r="N22" s="24" t="n"/>
    </row>
    <row r="23">
      <c r="A23" s="23" t="inlineStr">
        <is>
          <t>prescriptions</t>
        </is>
      </c>
      <c r="B23" s="24" t="inlineStr">
        <is>
          <t>처방전 · 약봉투</t>
        </is>
      </c>
      <c r="C23" s="24" t="inlineStr">
        <is>
          <t>notices</t>
        </is>
      </c>
      <c r="D23" s="24" t="inlineStr">
        <is>
          <t>읽기 확인 표시</t>
        </is>
      </c>
      <c r="E23" s="24" t="inlineStr">
        <is>
          <t>jsonb</t>
        </is>
      </c>
      <c r="F23" s="25" t="n"/>
      <c r="G23" s="24" t="n"/>
      <c r="H23" s="25" t="inlineStr">
        <is>
          <t>N</t>
        </is>
      </c>
      <c r="I23" s="24" t="n"/>
      <c r="J23" s="24" t="inlineStr">
        <is>
          <t>사진을 읽을 때 사용자가 확인해야 할 점 문장 목록 (줄 수 불일치 · 칸 순서 추정 · 날짜 이상 등). 없으면 null</t>
        </is>
      </c>
      <c r="K23" s="24" t="inlineStr">
        <is>
          <t>OC-01 · OC-02 · O-1 · O-2</t>
        </is>
      </c>
      <c r="L23" s="25" t="inlineStr">
        <is>
          <t>신규</t>
        </is>
      </c>
      <c r="M23" s="25" t="inlineStr">
        <is>
          <t>v1.3</t>
        </is>
      </c>
      <c r="N23" s="24" t="n"/>
    </row>
    <row r="24">
      <c r="A24" s="23" t="inlineStr">
        <is>
          <t>prescriptions</t>
        </is>
      </c>
      <c r="B24" s="24" t="inlineStr">
        <is>
          <t>처방전 · 약봉투</t>
        </is>
      </c>
      <c r="C24" s="24" t="inlineStr">
        <is>
          <t>content_key</t>
        </is>
      </c>
      <c r="D24" s="24" t="inlineStr">
        <is>
          <t>같은 처방전 판별값</t>
        </is>
      </c>
      <c r="E24" s="24" t="inlineStr">
        <is>
          <t>varchar(64)</t>
        </is>
      </c>
      <c r="F24" s="25" t="n"/>
      <c r="G24" s="24" t="n"/>
      <c r="H24" s="25" t="inlineStr">
        <is>
          <t>N</t>
        </is>
      </c>
      <c r="I24" s="24" t="n"/>
      <c r="J24" s="24" t="inlineStr">
        <is>
          <t>같은 처방전인지 가리는 해시 (병원, 교부일, 약 목록). 인덱스</t>
        </is>
      </c>
      <c r="K24" s="24" t="inlineStr">
        <is>
          <t>OC-01 / O-1 / O-5</t>
        </is>
      </c>
      <c r="L24" s="25" t="inlineStr">
        <is>
          <t>신규</t>
        </is>
      </c>
      <c r="M24" s="25" t="inlineStr">
        <is>
          <t>v1.5</t>
        </is>
      </c>
      <c r="N24" s="24" t="n"/>
    </row>
    <row r="25">
      <c r="A25" s="19" t="inlineStr">
        <is>
          <t>prescriptions</t>
        </is>
      </c>
      <c r="B25" s="15" t="inlineStr">
        <is>
          <t>처방전 · 약봉투</t>
        </is>
      </c>
      <c r="C25" s="15" t="inlineStr">
        <is>
          <t>created_at</t>
        </is>
      </c>
      <c r="D25" s="15" t="inlineStr">
        <is>
          <t>생성 일시</t>
        </is>
      </c>
      <c r="E25" s="15" t="inlineStr">
        <is>
          <t>timestamp</t>
        </is>
      </c>
      <c r="F25" s="16" t="n"/>
      <c r="G25" s="15" t="n"/>
      <c r="H25" s="16" t="inlineStr">
        <is>
          <t>N</t>
        </is>
      </c>
      <c r="I25" s="15" t="inlineStr">
        <is>
          <t>now()</t>
        </is>
      </c>
      <c r="J25" s="15" t="n"/>
      <c r="K25" s="15" t="inlineStr">
        <is>
          <t>OC-01 · OC-02 · O-1 · O-2</t>
        </is>
      </c>
      <c r="L25" s="16" t="inlineStr">
        <is>
          <t>기존</t>
        </is>
      </c>
      <c r="M25" s="16" t="inlineStr">
        <is>
          <t>v0.1</t>
        </is>
      </c>
      <c r="N25" s="15" t="n"/>
    </row>
    <row r="26">
      <c r="A26" s="23" t="inlineStr">
        <is>
          <t>prescription_diseases</t>
        </is>
      </c>
      <c r="B26" s="24" t="inlineStr">
        <is>
          <t>처방전 질병코드</t>
        </is>
      </c>
      <c r="C26" s="24" t="inlineStr">
        <is>
          <t>id</t>
        </is>
      </c>
      <c r="D26" s="24" t="inlineStr">
        <is>
          <t>ID</t>
        </is>
      </c>
      <c r="E26" s="24" t="inlineStr">
        <is>
          <t>bigint</t>
        </is>
      </c>
      <c r="F26" s="25" t="inlineStr">
        <is>
          <t>PK</t>
        </is>
      </c>
      <c r="G26" s="24" t="n"/>
      <c r="H26" s="25" t="inlineStr">
        <is>
          <t>Y</t>
        </is>
      </c>
      <c r="I26" s="24" t="n"/>
      <c r="J26" s="24" t="inlineStr">
        <is>
          <t>코드 구현 맞춤 — Tortoise는 복합 PK를 지원하지 않아 id를 PK로 두고 원래 PK 두 칸은 unique로</t>
        </is>
      </c>
      <c r="K26" s="24" t="inlineStr">
        <is>
          <t>O-2 · R-4</t>
        </is>
      </c>
      <c r="L26" s="25" t="inlineStr">
        <is>
          <t>신규</t>
        </is>
      </c>
      <c r="M26" s="25" t="inlineStr">
        <is>
          <t>v1.3</t>
        </is>
      </c>
      <c r="N26" s="24" t="inlineStr">
        <is>
          <t>v1.0 신규 · 처방전 질병분류기호는 주상병 + 부상병 여러 개 · v1.3 id PK + (prescription_id, disease_id) UQ</t>
        </is>
      </c>
    </row>
    <row r="27">
      <c r="A27" s="23" t="inlineStr">
        <is>
          <t>prescription_diseases</t>
        </is>
      </c>
      <c r="B27" s="24" t="inlineStr">
        <is>
          <t>처방전 질병코드</t>
        </is>
      </c>
      <c r="C27" s="24" t="inlineStr">
        <is>
          <t>prescription_id</t>
        </is>
      </c>
      <c r="D27" s="24" t="inlineStr">
        <is>
          <t>처방전 ID</t>
        </is>
      </c>
      <c r="E27" s="24" t="inlineStr">
        <is>
          <t>bigint</t>
        </is>
      </c>
      <c r="F27" s="25" t="inlineStr">
        <is>
          <t>FK</t>
        </is>
      </c>
      <c r="G27" s="24" t="inlineStr">
        <is>
          <t>prescriptions.id</t>
        </is>
      </c>
      <c r="H27" s="25" t="inlineStr">
        <is>
          <t>Y</t>
        </is>
      </c>
      <c r="I27" s="24" t="n"/>
      <c r="J27" s="24" t="n"/>
      <c r="K27" s="24" t="inlineStr">
        <is>
          <t>O-2 · R-4</t>
        </is>
      </c>
      <c r="L27" s="25" t="inlineStr">
        <is>
          <t>신규</t>
        </is>
      </c>
      <c r="M27" s="25" t="inlineStr">
        <is>
          <t>v1.3</t>
        </is>
      </c>
      <c r="N27" s="24" t="n"/>
    </row>
    <row r="28">
      <c r="A28" s="23" t="inlineStr">
        <is>
          <t>prescription_diseases</t>
        </is>
      </c>
      <c r="B28" s="24" t="inlineStr">
        <is>
          <t>처방전 질병코드</t>
        </is>
      </c>
      <c r="C28" s="24" t="inlineStr">
        <is>
          <t>disease_id</t>
        </is>
      </c>
      <c r="D28" s="24" t="inlineStr">
        <is>
          <t>상병 코드</t>
        </is>
      </c>
      <c r="E28" s="24" t="inlineStr">
        <is>
          <t>varchar(10)</t>
        </is>
      </c>
      <c r="F28" s="25" t="inlineStr">
        <is>
          <t>FK</t>
        </is>
      </c>
      <c r="G28" s="24" t="inlineStr">
        <is>
          <t>diseases.code</t>
        </is>
      </c>
      <c r="H28" s="25" t="inlineStr">
        <is>
          <t>Y</t>
        </is>
      </c>
      <c r="I28" s="24" t="n"/>
      <c r="J28" s="24" t="inlineStr">
        <is>
          <t>값은 상병기호 (예: I10). (prescription_id, disease_id) UQ — 칸 이름은 Tortoise 규칙에 맞춤</t>
        </is>
      </c>
      <c r="K28" s="24" t="inlineStr">
        <is>
          <t>O-2 · R-4</t>
        </is>
      </c>
      <c r="L28" s="25" t="inlineStr">
        <is>
          <t>신규</t>
        </is>
      </c>
      <c r="M28" s="25" t="inlineStr">
        <is>
          <t>v1.3</t>
        </is>
      </c>
      <c r="N28" s="24" t="n"/>
    </row>
    <row r="29">
      <c r="A29" s="23" t="inlineStr">
        <is>
          <t>prescription_diseases</t>
        </is>
      </c>
      <c r="B29" s="24" t="inlineStr">
        <is>
          <t>처방전 질병코드</t>
        </is>
      </c>
      <c r="C29" s="24" t="inlineStr">
        <is>
          <t>is_main</t>
        </is>
      </c>
      <c r="D29" s="24" t="inlineStr">
        <is>
          <t>주상병 여부</t>
        </is>
      </c>
      <c r="E29" s="24" t="inlineStr">
        <is>
          <t>boolean</t>
        </is>
      </c>
      <c r="F29" s="25" t="n"/>
      <c r="G29" s="24" t="n"/>
      <c r="H29" s="25" t="inlineStr">
        <is>
          <t>N</t>
        </is>
      </c>
      <c r="I29" s="24" t="n"/>
      <c r="J29" s="24" t="inlineStr">
        <is>
          <t>주상병 여부</t>
        </is>
      </c>
      <c r="K29" s="24" t="inlineStr">
        <is>
          <t>O-2 · R-4</t>
        </is>
      </c>
      <c r="L29" s="25" t="inlineStr">
        <is>
          <t>신규</t>
        </is>
      </c>
      <c r="M29" s="25" t="inlineStr">
        <is>
          <t>v1.0</t>
        </is>
      </c>
      <c r="N29" s="24" t="n"/>
    </row>
    <row r="30">
      <c r="A30" s="19" t="inlineStr">
        <is>
          <t>prescription_items</t>
        </is>
      </c>
      <c r="B30" s="15" t="inlineStr">
        <is>
          <t>처방 약품</t>
        </is>
      </c>
      <c r="C30" s="15" t="inlineStr">
        <is>
          <t>id</t>
        </is>
      </c>
      <c r="D30" s="15" t="inlineStr">
        <is>
          <t>ID</t>
        </is>
      </c>
      <c r="E30" s="15" t="inlineStr">
        <is>
          <t>bigint</t>
        </is>
      </c>
      <c r="F30" s="16" t="inlineStr">
        <is>
          <t>PK</t>
        </is>
      </c>
      <c r="G30" s="15" t="n"/>
      <c r="H30" s="16" t="inlineStr">
        <is>
          <t>Y</t>
        </is>
      </c>
      <c r="I30" s="15" t="n"/>
      <c r="J30" s="15" t="n"/>
      <c r="K30" s="15" t="inlineStr">
        <is>
          <t>OC-02 · O-2 · O-3</t>
        </is>
      </c>
      <c r="L30" s="16" t="inlineStr">
        <is>
          <t>기존</t>
        </is>
      </c>
      <c r="M30" s="16" t="inlineStr">
        <is>
          <t>v0.1</t>
        </is>
      </c>
      <c r="N30" s="15" t="inlineStr">
        <is>
          <t>needs_confirm · unmatched가 남아 있으면 분석 시작 불가 (REQ-033). 1일 총량 = dose_per_time * times_per_day. 약이 정해졌으면(auto · user_confirmed) edi_code · item_seq 중 하나는 있음</t>
        </is>
      </c>
    </row>
    <row r="31">
      <c r="A31" s="19" t="inlineStr">
        <is>
          <t>prescription_items</t>
        </is>
      </c>
      <c r="B31" s="15" t="inlineStr">
        <is>
          <t>처방 약품</t>
        </is>
      </c>
      <c r="C31" s="15" t="inlineStr">
        <is>
          <t>prescription_id</t>
        </is>
      </c>
      <c r="D31" s="15" t="inlineStr">
        <is>
          <t>처방전 ID</t>
        </is>
      </c>
      <c r="E31" s="15" t="inlineStr">
        <is>
          <t>bigint</t>
        </is>
      </c>
      <c r="F31" s="16" t="inlineStr">
        <is>
          <t>FK</t>
        </is>
      </c>
      <c r="G31" s="15" t="inlineStr">
        <is>
          <t>prescriptions.id</t>
        </is>
      </c>
      <c r="H31" s="16" t="inlineStr">
        <is>
          <t>Y</t>
        </is>
      </c>
      <c r="I31" s="15" t="n"/>
      <c r="J31" s="15" t="n"/>
      <c r="K31" s="15" t="inlineStr">
        <is>
          <t>OC-02 · O-2 · O-3</t>
        </is>
      </c>
      <c r="L31" s="16" t="inlineStr">
        <is>
          <t>기존</t>
        </is>
      </c>
      <c r="M31" s="16" t="inlineStr">
        <is>
          <t>v0.1</t>
        </is>
      </c>
      <c r="N31" s="15" t="n"/>
    </row>
    <row r="32">
      <c r="A32" s="20" t="inlineStr">
        <is>
          <t>prescription_items</t>
        </is>
      </c>
      <c r="B32" s="21" t="inlineStr">
        <is>
          <t>처방 약품</t>
        </is>
      </c>
      <c r="C32" s="21" t="inlineStr">
        <is>
          <t>edi_code</t>
        </is>
      </c>
      <c r="D32" s="21" t="inlineStr">
        <is>
          <t>EDI 제품코드</t>
        </is>
      </c>
      <c r="E32" s="21" t="inlineStr">
        <is>
          <t>varchar(9)</t>
        </is>
      </c>
      <c r="F32" s="22" t="inlineStr">
        <is>
          <t>FK</t>
        </is>
      </c>
      <c r="G32" s="21" t="inlineStr">
        <is>
          <t>drug_products.edi_code</t>
        </is>
      </c>
      <c r="H32" s="22" t="inlineStr">
        <is>
          <t>N</t>
        </is>
      </c>
      <c r="I32" s="21" t="n"/>
      <c r="J32" s="21" t="inlineStr">
        <is>
          <t>매칭 실패 · 제외 · 급여목록에 없는 약이면 null</t>
        </is>
      </c>
      <c r="K32" s="21" t="inlineStr">
        <is>
          <t>OC-02 · O-2 · O-3</t>
        </is>
      </c>
      <c r="L32" s="22" t="inlineStr">
        <is>
          <t>수정</t>
        </is>
      </c>
      <c r="M32" s="22" t="inlineStr">
        <is>
          <t>v1.3</t>
        </is>
      </c>
      <c r="N32" s="21" t="n"/>
    </row>
    <row r="33">
      <c r="A33" s="20" t="inlineStr">
        <is>
          <t>prescription_items</t>
        </is>
      </c>
      <c r="B33" s="21" t="inlineStr">
        <is>
          <t>처방 약품</t>
        </is>
      </c>
      <c r="C33" s="21" t="inlineStr">
        <is>
          <t>item_seq</t>
        </is>
      </c>
      <c r="D33" s="21" t="inlineStr">
        <is>
          <t>품목기준코드</t>
        </is>
      </c>
      <c r="E33" s="21" t="inlineStr">
        <is>
          <t>varchar(9)</t>
        </is>
      </c>
      <c r="F33" s="22" t="inlineStr">
        <is>
          <t>FK</t>
        </is>
      </c>
      <c r="G33" s="21" t="inlineStr">
        <is>
          <t>drug_details.item_seq</t>
        </is>
      </c>
      <c r="H33" s="22" t="inlineStr">
        <is>
          <t>N</t>
        </is>
      </c>
      <c r="I33" s="21" t="n"/>
      <c r="J33" s="21" t="inlineStr">
        <is>
          <t>급여목록에 없는 약(일반약 등)만 채움 — 있는 약은 edi_code로 약 정보까지 이어짐</t>
        </is>
      </c>
      <c r="K33" s="21" t="inlineStr">
        <is>
          <t>OC-02 · O-2 · O-3</t>
        </is>
      </c>
      <c r="L33" s="22" t="inlineStr">
        <is>
          <t>신규</t>
        </is>
      </c>
      <c r="M33" s="22" t="inlineStr">
        <is>
          <t>v1.3</t>
        </is>
      </c>
      <c r="N33" s="21" t="n"/>
    </row>
    <row r="34">
      <c r="A34" s="19" t="inlineStr">
        <is>
          <t>prescription_items</t>
        </is>
      </c>
      <c r="B34" s="15" t="inlineStr">
        <is>
          <t>처방 약품</t>
        </is>
      </c>
      <c r="C34" s="15" t="inlineStr">
        <is>
          <t>raw_name</t>
        </is>
      </c>
      <c r="D34" s="15" t="inlineStr">
        <is>
          <t>인식된 약품명</t>
        </is>
      </c>
      <c r="E34" s="15" t="inlineStr">
        <is>
          <t>varchar(300)</t>
        </is>
      </c>
      <c r="F34" s="16" t="n"/>
      <c r="G34" s="15" t="n"/>
      <c r="H34" s="16" t="inlineStr">
        <is>
          <t>Y</t>
        </is>
      </c>
      <c r="I34" s="15" t="n"/>
      <c r="J34" s="15" t="inlineStr">
        <is>
          <t>OCR이 읽은 원문 약품명</t>
        </is>
      </c>
      <c r="K34" s="15" t="inlineStr">
        <is>
          <t>OC-02 · O-2 · O-3</t>
        </is>
      </c>
      <c r="L34" s="16" t="inlineStr">
        <is>
          <t>기존</t>
        </is>
      </c>
      <c r="M34" s="16" t="inlineStr">
        <is>
          <t>v0.1</t>
        </is>
      </c>
      <c r="N34" s="15" t="n"/>
    </row>
    <row r="35">
      <c r="A35" s="20" t="inlineStr">
        <is>
          <t>prescription_items</t>
        </is>
      </c>
      <c r="B35" s="21" t="inlineStr">
        <is>
          <t>처방 약품</t>
        </is>
      </c>
      <c r="C35" s="21" t="inlineStr">
        <is>
          <t>match_score</t>
        </is>
      </c>
      <c r="D35" s="21" t="inlineStr">
        <is>
          <t>매칭 점수</t>
        </is>
      </c>
      <c r="E35" s="21" t="inlineStr">
        <is>
          <t>decimal(5,4)</t>
        </is>
      </c>
      <c r="F35" s="22" t="n"/>
      <c r="G35" s="21" t="n"/>
      <c r="H35" s="22" t="inlineStr">
        <is>
          <t>N</t>
        </is>
      </c>
      <c r="I35" s="21" t="n"/>
      <c r="J35" s="21" t="n"/>
      <c r="K35" s="21" t="inlineStr">
        <is>
          <t>OC-02 · O-2 · O-3</t>
        </is>
      </c>
      <c r="L35" s="22" t="inlineStr">
        <is>
          <t>수정</t>
        </is>
      </c>
      <c r="M35" s="22" t="inlineStr">
        <is>
          <t>v1.0</t>
        </is>
      </c>
      <c r="N35" s="21" t="n"/>
    </row>
    <row r="36">
      <c r="A36" s="20" t="inlineStr">
        <is>
          <t>prescription_items</t>
        </is>
      </c>
      <c r="B36" s="21" t="inlineStr">
        <is>
          <t>처방 약품</t>
        </is>
      </c>
      <c r="C36" s="21" t="inlineStr">
        <is>
          <t>match_status</t>
        </is>
      </c>
      <c r="D36" s="21" t="inlineStr">
        <is>
          <t>매칭 상태</t>
        </is>
      </c>
      <c r="E36" s="21" t="inlineStr">
        <is>
          <t>varchar(20)</t>
        </is>
      </c>
      <c r="F36" s="22" t="n"/>
      <c r="G36" s="21" t="n"/>
      <c r="H36" s="22" t="inlineStr">
        <is>
          <t>Y</t>
        </is>
      </c>
      <c r="I36" s="21" t="n"/>
      <c r="J36" s="21" t="inlineStr">
        <is>
          <t>auto / needs_confirm / user_confirmed / unmatched / excluded(빼고 진행)</t>
        </is>
      </c>
      <c r="K36" s="21" t="inlineStr">
        <is>
          <t>OC-02 · O-2 · O-3</t>
        </is>
      </c>
      <c r="L36" s="22" t="inlineStr">
        <is>
          <t>수정</t>
        </is>
      </c>
      <c r="M36" s="22" t="inlineStr">
        <is>
          <t>v1.0</t>
        </is>
      </c>
      <c r="N36" s="21" t="n"/>
    </row>
    <row r="37">
      <c r="A37" s="20" t="inlineStr">
        <is>
          <t>prescription_items</t>
        </is>
      </c>
      <c r="B37" s="21" t="inlineStr">
        <is>
          <t>처방 약품</t>
        </is>
      </c>
      <c r="C37" s="21" t="inlineStr">
        <is>
          <t>dose_per_time</t>
        </is>
      </c>
      <c r="D37" s="21" t="inlineStr">
        <is>
          <t>1회 투여량</t>
        </is>
      </c>
      <c r="E37" s="21" t="inlineStr">
        <is>
          <t>decimal(10,3)</t>
        </is>
      </c>
      <c r="F37" s="22" t="n"/>
      <c r="G37" s="21" t="n"/>
      <c r="H37" s="22" t="inlineStr">
        <is>
          <t>N</t>
        </is>
      </c>
      <c r="I37" s="21" t="n"/>
      <c r="J37" s="21" t="n"/>
      <c r="K37" s="21" t="inlineStr">
        <is>
          <t>OC-02 · O-2 · O-3</t>
        </is>
      </c>
      <c r="L37" s="22" t="inlineStr">
        <is>
          <t>수정</t>
        </is>
      </c>
      <c r="M37" s="22" t="inlineStr">
        <is>
          <t>v1.0</t>
        </is>
      </c>
      <c r="N37" s="21" t="n"/>
    </row>
    <row r="38">
      <c r="A38" s="20" t="inlineStr">
        <is>
          <t>prescription_items</t>
        </is>
      </c>
      <c r="B38" s="21" t="inlineStr">
        <is>
          <t>처방 약품</t>
        </is>
      </c>
      <c r="C38" s="21" t="inlineStr">
        <is>
          <t>times_per_day</t>
        </is>
      </c>
      <c r="D38" s="21" t="inlineStr">
        <is>
          <t>1일 투여 횟수</t>
        </is>
      </c>
      <c r="E38" s="21" t="inlineStr">
        <is>
          <t>smallint</t>
        </is>
      </c>
      <c r="F38" s="22" t="n"/>
      <c r="G38" s="21" t="n"/>
      <c r="H38" s="22" t="inlineStr">
        <is>
          <t>N</t>
        </is>
      </c>
      <c r="I38" s="21" t="n"/>
      <c r="J38" s="21" t="n"/>
      <c r="K38" s="21" t="inlineStr">
        <is>
          <t>OC-02 · O-2 · O-3</t>
        </is>
      </c>
      <c r="L38" s="22" t="inlineStr">
        <is>
          <t>수정</t>
        </is>
      </c>
      <c r="M38" s="22" t="inlineStr">
        <is>
          <t>v1.0</t>
        </is>
      </c>
      <c r="N38" s="21" t="n"/>
    </row>
    <row r="39">
      <c r="A39" s="20" t="inlineStr">
        <is>
          <t>prescription_items</t>
        </is>
      </c>
      <c r="B39" s="21" t="inlineStr">
        <is>
          <t>처방 약품</t>
        </is>
      </c>
      <c r="C39" s="21" t="inlineStr">
        <is>
          <t>total_days</t>
        </is>
      </c>
      <c r="D39" s="21" t="inlineStr">
        <is>
          <t>총 투약일수</t>
        </is>
      </c>
      <c r="E39" s="21" t="inlineStr">
        <is>
          <t>smallint</t>
        </is>
      </c>
      <c r="F39" s="22" t="n"/>
      <c r="G39" s="21" t="n"/>
      <c r="H39" s="22" t="inlineStr">
        <is>
          <t>N</t>
        </is>
      </c>
      <c r="I39" s="21" t="n"/>
      <c r="J39" s="21" t="n"/>
      <c r="K39" s="21" t="inlineStr">
        <is>
          <t>OC-02 · O-2 · O-3</t>
        </is>
      </c>
      <c r="L39" s="22" t="inlineStr">
        <is>
          <t>수정</t>
        </is>
      </c>
      <c r="M39" s="22" t="inlineStr">
        <is>
          <t>v1.0</t>
        </is>
      </c>
      <c r="N39" s="21" t="n"/>
    </row>
    <row r="40">
      <c r="A40" s="20" t="inlineStr">
        <is>
          <t>prescription_items</t>
        </is>
      </c>
      <c r="B40" s="21" t="inlineStr">
        <is>
          <t>처방 약품</t>
        </is>
      </c>
      <c r="C40" s="21" t="inlineStr">
        <is>
          <t>timing</t>
        </is>
      </c>
      <c r="D40" s="21" t="inlineStr">
        <is>
          <t>복용 시점</t>
        </is>
      </c>
      <c r="E40" s="21" t="inlineStr">
        <is>
          <t>varchar(50)</t>
        </is>
      </c>
      <c r="F40" s="22" t="n"/>
      <c r="G40" s="21" t="n"/>
      <c r="H40" s="22" t="inlineStr">
        <is>
          <t>N</t>
        </is>
      </c>
      <c r="I40" s="21" t="n"/>
      <c r="J40" s="21" t="inlineStr">
        <is>
          <t>아침 식후 등</t>
        </is>
      </c>
      <c r="K40" s="21" t="inlineStr">
        <is>
          <t>OC-02 · O-2 · O-3</t>
        </is>
      </c>
      <c r="L40" s="22" t="inlineStr">
        <is>
          <t>수정</t>
        </is>
      </c>
      <c r="M40" s="22" t="inlineStr">
        <is>
          <t>v1.0</t>
        </is>
      </c>
      <c r="N40" s="21" t="n"/>
    </row>
    <row r="41">
      <c r="A41" s="20" t="inlineStr">
        <is>
          <t>prescription_items</t>
        </is>
      </c>
      <c r="B41" s="21" t="inlineStr">
        <is>
          <t>처방 약품</t>
        </is>
      </c>
      <c r="C41" s="21" t="inlineStr">
        <is>
          <t>guidance</t>
        </is>
      </c>
      <c r="D41" s="21" t="inlineStr">
        <is>
          <t>약국 인쇄 복약 안내</t>
        </is>
      </c>
      <c r="E41" s="21" t="inlineStr">
        <is>
          <t>jsonb</t>
        </is>
      </c>
      <c r="F41" s="22" t="n"/>
      <c r="G41" s="21" t="n"/>
      <c r="H41" s="22" t="inlineStr">
        <is>
          <t>N</t>
        </is>
      </c>
      <c r="I41" s="21" t="n"/>
      <c r="J41" s="21" t="inlineStr">
        <is>
          <t>약봉투만 채움, 마스킹 후 저장. 없으면 null</t>
        </is>
      </c>
      <c r="K41" s="21" t="inlineStr">
        <is>
          <t>OC-02 · O-2 · O-3</t>
        </is>
      </c>
      <c r="L41" s="22" t="inlineStr">
        <is>
          <t>신규</t>
        </is>
      </c>
      <c r="M41" s="22" t="inlineStr">
        <is>
          <t>v1.3</t>
        </is>
      </c>
      <c r="N41" s="21" t="n"/>
    </row>
    <row r="42">
      <c r="A42" s="23" t="inlineStr">
        <is>
          <t>prescription_items</t>
        </is>
      </c>
      <c r="B42" s="24" t="inlineStr">
        <is>
          <t>처방 약품</t>
        </is>
      </c>
      <c r="C42" s="24" t="inlineStr">
        <is>
          <t>suggested_by</t>
        </is>
      </c>
      <c r="D42" s="24" t="inlineStr">
        <is>
          <t>추천 출처</t>
        </is>
      </c>
      <c r="E42" s="24" t="inlineStr">
        <is>
          <t>varchar(20)</t>
        </is>
      </c>
      <c r="F42" s="25" t="n"/>
      <c r="G42" s="24" t="n"/>
      <c r="H42" s="25" t="inlineStr">
        <is>
          <t>N</t>
        </is>
      </c>
      <c r="I42" s="24" t="n"/>
      <c r="J42" s="24" t="inlineStr">
        <is>
          <t>후보가 추천에서 왔을 때 similar(비슷한 이름) 또는 llm. 화면이 "추천"임을 알림</t>
        </is>
      </c>
      <c r="K42" s="24" t="inlineStr">
        <is>
          <t>OC-02 / O-2</t>
        </is>
      </c>
      <c r="L42" s="25" t="inlineStr">
        <is>
          <t>신규</t>
        </is>
      </c>
      <c r="M42" s="25" t="inlineStr">
        <is>
          <t>v1.5</t>
        </is>
      </c>
      <c r="N42" s="24" t="n"/>
    </row>
    <row r="43">
      <c r="A43" s="23" t="inlineStr">
        <is>
          <t>prescription_item_candidates</t>
        </is>
      </c>
      <c r="B43" s="24" t="inlineStr">
        <is>
          <t>약품 매칭 후보</t>
        </is>
      </c>
      <c r="C43" s="24" t="inlineStr">
        <is>
          <t>id</t>
        </is>
      </c>
      <c r="D43" s="24" t="inlineStr">
        <is>
          <t>ID</t>
        </is>
      </c>
      <c r="E43" s="24" t="inlineStr">
        <is>
          <t>bigint</t>
        </is>
      </c>
      <c r="F43" s="25" t="inlineStr">
        <is>
          <t>PK</t>
        </is>
      </c>
      <c r="G43" s="24" t="n"/>
      <c r="H43" s="25" t="inlineStr">
        <is>
          <t>Y</t>
        </is>
      </c>
      <c r="I43" s="24" t="n"/>
      <c r="J43" s="24" t="inlineStr">
        <is>
          <t>코드 구현 맞춤 — Tortoise는 복합 PK를 지원하지 않아 id를 PK로 두고 원래 PK 두 칸은 unique로</t>
        </is>
      </c>
      <c r="K43" s="24" t="inlineStr">
        <is>
          <t>OC-02 · O-3</t>
        </is>
      </c>
      <c r="L43" s="25" t="inlineStr">
        <is>
          <t>신규</t>
        </is>
      </c>
      <c r="M43" s="25" t="inlineStr">
        <is>
          <t>v1.3</t>
        </is>
      </c>
      <c r="N43" s="24" t="inlineStr">
        <is>
          <t>v1.0 신규 🟡 채연 확인 · OC-02 후보 목록. 매칭 정확도(1순위 적중률 · 5순위 내 포함률) 측정에 필요 · v1.3 id PK + (item_id, rank) UQ · v1.3 edi_code · item_seq 중 하나는 꼭 있음</t>
        </is>
      </c>
    </row>
    <row r="44">
      <c r="A44" s="23" t="inlineStr">
        <is>
          <t>prescription_item_candidates</t>
        </is>
      </c>
      <c r="B44" s="24" t="inlineStr">
        <is>
          <t>약품 매칭 후보</t>
        </is>
      </c>
      <c r="C44" s="24" t="inlineStr">
        <is>
          <t>item_id</t>
        </is>
      </c>
      <c r="D44" s="24" t="inlineStr">
        <is>
          <t>처방 약품 ID</t>
        </is>
      </c>
      <c r="E44" s="24" t="inlineStr">
        <is>
          <t>bigint</t>
        </is>
      </c>
      <c r="F44" s="25" t="inlineStr">
        <is>
          <t>FK</t>
        </is>
      </c>
      <c r="G44" s="24" t="inlineStr">
        <is>
          <t>prescription_items.id</t>
        </is>
      </c>
      <c r="H44" s="25" t="inlineStr">
        <is>
          <t>Y</t>
        </is>
      </c>
      <c r="I44" s="24" t="n"/>
      <c r="J44" s="24" t="n"/>
      <c r="K44" s="24" t="inlineStr">
        <is>
          <t>OC-02 · O-3</t>
        </is>
      </c>
      <c r="L44" s="25" t="inlineStr">
        <is>
          <t>신규</t>
        </is>
      </c>
      <c r="M44" s="25" t="inlineStr">
        <is>
          <t>v1.3</t>
        </is>
      </c>
      <c r="N44" s="24" t="n"/>
    </row>
    <row r="45">
      <c r="A45" s="23" t="inlineStr">
        <is>
          <t>prescription_item_candidates</t>
        </is>
      </c>
      <c r="B45" s="24" t="inlineStr">
        <is>
          <t>약품 매칭 후보</t>
        </is>
      </c>
      <c r="C45" s="24" t="inlineStr">
        <is>
          <t>rank</t>
        </is>
      </c>
      <c r="D45" s="24" t="inlineStr">
        <is>
          <t>순위</t>
        </is>
      </c>
      <c r="E45" s="24" t="inlineStr">
        <is>
          <t>smallint</t>
        </is>
      </c>
      <c r="F45" s="25" t="n"/>
      <c r="G45" s="24" t="n"/>
      <c r="H45" s="25" t="inlineStr">
        <is>
          <t>Y</t>
        </is>
      </c>
      <c r="I45" s="24" t="n"/>
      <c r="J45" s="24" t="inlineStr">
        <is>
          <t>(item_id, rank) UQ</t>
        </is>
      </c>
      <c r="K45" s="24" t="inlineStr">
        <is>
          <t>OC-02 · O-3</t>
        </is>
      </c>
      <c r="L45" s="25" t="inlineStr">
        <is>
          <t>신규</t>
        </is>
      </c>
      <c r="M45" s="25" t="inlineStr">
        <is>
          <t>v1.3</t>
        </is>
      </c>
      <c r="N45" s="24" t="n"/>
    </row>
    <row r="46">
      <c r="A46" s="23" t="inlineStr">
        <is>
          <t>prescription_item_candidates</t>
        </is>
      </c>
      <c r="B46" s="24" t="inlineStr">
        <is>
          <t>약품 매칭 후보</t>
        </is>
      </c>
      <c r="C46" s="24" t="inlineStr">
        <is>
          <t>edi_code</t>
        </is>
      </c>
      <c r="D46" s="24" t="inlineStr">
        <is>
          <t>EDI 제품코드</t>
        </is>
      </c>
      <c r="E46" s="24" t="inlineStr">
        <is>
          <t>varchar(9)</t>
        </is>
      </c>
      <c r="F46" s="25" t="inlineStr">
        <is>
          <t>FK</t>
        </is>
      </c>
      <c r="G46" s="24" t="inlineStr">
        <is>
          <t>drug_products.edi_code</t>
        </is>
      </c>
      <c r="H46" s="25" t="inlineStr">
        <is>
          <t>N</t>
        </is>
      </c>
      <c r="I46" s="24" t="n"/>
      <c r="J46" s="24" t="inlineStr">
        <is>
          <t>급여목록에 있는 약 (없는 약은 item_seq) — 둘 중 하나는 꼭 있음</t>
        </is>
      </c>
      <c r="K46" s="24" t="inlineStr">
        <is>
          <t>OC-02 · O-3</t>
        </is>
      </c>
      <c r="L46" s="25" t="inlineStr">
        <is>
          <t>신규</t>
        </is>
      </c>
      <c r="M46" s="25" t="inlineStr">
        <is>
          <t>v1.3</t>
        </is>
      </c>
      <c r="N46" s="24" t="n"/>
    </row>
    <row r="47">
      <c r="A47" s="23" t="inlineStr">
        <is>
          <t>prescription_item_candidates</t>
        </is>
      </c>
      <c r="B47" s="24" t="inlineStr">
        <is>
          <t>약품 매칭 후보</t>
        </is>
      </c>
      <c r="C47" s="24" t="inlineStr">
        <is>
          <t>item_seq</t>
        </is>
      </c>
      <c r="D47" s="24" t="inlineStr">
        <is>
          <t>품목기준코드</t>
        </is>
      </c>
      <c r="E47" s="24" t="inlineStr">
        <is>
          <t>varchar(9)</t>
        </is>
      </c>
      <c r="F47" s="25" t="inlineStr">
        <is>
          <t>FK</t>
        </is>
      </c>
      <c r="G47" s="24" t="inlineStr">
        <is>
          <t>drug_details.item_seq</t>
        </is>
      </c>
      <c r="H47" s="25" t="inlineStr">
        <is>
          <t>N</t>
        </is>
      </c>
      <c r="I47" s="24" t="n"/>
      <c r="J47" s="24" t="inlineStr">
        <is>
          <t>급여목록에 없는 약 — edi_code가 없을 때 채움</t>
        </is>
      </c>
      <c r="K47" s="24" t="inlineStr">
        <is>
          <t>OC-02 · O-3</t>
        </is>
      </c>
      <c r="L47" s="25" t="inlineStr">
        <is>
          <t>신규</t>
        </is>
      </c>
      <c r="M47" s="25" t="inlineStr">
        <is>
          <t>v1.3</t>
        </is>
      </c>
      <c r="N47" s="24" t="n"/>
    </row>
    <row r="48">
      <c r="A48" s="23" t="inlineStr">
        <is>
          <t>prescription_item_candidates</t>
        </is>
      </c>
      <c r="B48" s="24" t="inlineStr">
        <is>
          <t>약품 매칭 후보</t>
        </is>
      </c>
      <c r="C48" s="24" t="inlineStr">
        <is>
          <t>score</t>
        </is>
      </c>
      <c r="D48" s="24" t="inlineStr">
        <is>
          <t>매칭 점수</t>
        </is>
      </c>
      <c r="E48" s="24" t="inlineStr">
        <is>
          <t>decimal(5,4)</t>
        </is>
      </c>
      <c r="F48" s="25" t="n"/>
      <c r="G48" s="24" t="n"/>
      <c r="H48" s="25" t="inlineStr">
        <is>
          <t>N</t>
        </is>
      </c>
      <c r="I48" s="24" t="n"/>
      <c r="J48" s="24" t="n"/>
      <c r="K48" s="24" t="inlineStr">
        <is>
          <t>OC-02 · O-3</t>
        </is>
      </c>
      <c r="L48" s="25" t="inlineStr">
        <is>
          <t>신규</t>
        </is>
      </c>
      <c r="M48" s="25" t="inlineStr">
        <is>
          <t>v1.0</t>
        </is>
      </c>
      <c r="N48" s="24" t="n"/>
    </row>
    <row r="49">
      <c r="A49" s="19" t="inlineStr">
        <is>
          <t>health_checkups</t>
        </is>
      </c>
      <c r="B49" s="15" t="inlineStr">
        <is>
          <t>건강검진 (보류)</t>
        </is>
      </c>
      <c r="C49" s="15" t="inlineStr">
        <is>
          <t>id</t>
        </is>
      </c>
      <c r="D49" s="15" t="inlineStr">
        <is>
          <t>ID</t>
        </is>
      </c>
      <c r="E49" s="15" t="inlineStr">
        <is>
          <t>bigint</t>
        </is>
      </c>
      <c r="F49" s="16" t="inlineStr">
        <is>
          <t>PK</t>
        </is>
      </c>
      <c r="G49" s="15" t="n"/>
      <c r="H49" s="16" t="inlineStr">
        <is>
          <t>Y</t>
        </is>
      </c>
      <c r="I49" s="15" t="n"/>
      <c r="J49" s="15" t="n"/>
      <c r="K49" s="15" t="inlineStr">
        <is>
          <t>REQ-015</t>
        </is>
      </c>
      <c r="L49" s="16" t="inlineStr">
        <is>
          <t>기존</t>
        </is>
      </c>
      <c r="M49" s="16" t="inlineStr">
        <is>
          <t>v0.1</t>
        </is>
      </c>
      <c r="N49" s="15" t="inlineStr">
        <is>
          <t>보류 (REQ-015 · 멘토링 확인 후 결정)</t>
        </is>
      </c>
    </row>
    <row r="50">
      <c r="A50" s="19" t="inlineStr">
        <is>
          <t>health_checkups</t>
        </is>
      </c>
      <c r="B50" s="15" t="inlineStr">
        <is>
          <t>건강검진 (보류)</t>
        </is>
      </c>
      <c r="C50" s="15" t="inlineStr">
        <is>
          <t>user_id</t>
        </is>
      </c>
      <c r="D50" s="15" t="inlineStr">
        <is>
          <t>사용자 ID</t>
        </is>
      </c>
      <c r="E50" s="15" t="inlineStr">
        <is>
          <t>bigint</t>
        </is>
      </c>
      <c r="F50" s="16" t="inlineStr">
        <is>
          <t>FK</t>
        </is>
      </c>
      <c r="G50" s="15" t="inlineStr">
        <is>
          <t>users.id</t>
        </is>
      </c>
      <c r="H50" s="16" t="inlineStr">
        <is>
          <t>Y</t>
        </is>
      </c>
      <c r="I50" s="15" t="n"/>
      <c r="J50" s="15" t="n"/>
      <c r="K50" s="15" t="inlineStr">
        <is>
          <t>REQ-015</t>
        </is>
      </c>
      <c r="L50" s="16" t="inlineStr">
        <is>
          <t>기존</t>
        </is>
      </c>
      <c r="M50" s="16" t="inlineStr">
        <is>
          <t>v0.1</t>
        </is>
      </c>
      <c r="N50" s="15" t="n"/>
    </row>
    <row r="51">
      <c r="A51" s="19" t="inlineStr">
        <is>
          <t>health_checkups</t>
        </is>
      </c>
      <c r="B51" s="15" t="inlineStr">
        <is>
          <t>건강검진 (보류)</t>
        </is>
      </c>
      <c r="C51" s="15" t="inlineStr">
        <is>
          <t>checkup_date</t>
        </is>
      </c>
      <c r="D51" s="15" t="inlineStr">
        <is>
          <t>검진일</t>
        </is>
      </c>
      <c r="E51" s="15" t="inlineStr">
        <is>
          <t>date</t>
        </is>
      </c>
      <c r="F51" s="16" t="n"/>
      <c r="G51" s="15" t="n"/>
      <c r="H51" s="16" t="inlineStr">
        <is>
          <t>N</t>
        </is>
      </c>
      <c r="I51" s="15" t="n"/>
      <c r="J51" s="15" t="n"/>
      <c r="K51" s="15" t="inlineStr">
        <is>
          <t>REQ-015</t>
        </is>
      </c>
      <c r="L51" s="16" t="inlineStr">
        <is>
          <t>기존</t>
        </is>
      </c>
      <c r="M51" s="16" t="inlineStr">
        <is>
          <t>v0.1</t>
        </is>
      </c>
      <c r="N51" s="15" t="n"/>
    </row>
    <row r="52">
      <c r="A52" s="19" t="inlineStr">
        <is>
          <t>health_checkups</t>
        </is>
      </c>
      <c r="B52" s="15" t="inlineStr">
        <is>
          <t>건강검진 (보류)</t>
        </is>
      </c>
      <c r="C52" s="15" t="inlineStr">
        <is>
          <t>ocr_raw_text</t>
        </is>
      </c>
      <c r="D52" s="15" t="inlineStr">
        <is>
          <t>OCR 원문</t>
        </is>
      </c>
      <c r="E52" s="15" t="inlineStr">
        <is>
          <t>text</t>
        </is>
      </c>
      <c r="F52" s="16" t="n"/>
      <c r="G52" s="15" t="n"/>
      <c r="H52" s="16" t="inlineStr">
        <is>
          <t>N</t>
        </is>
      </c>
      <c r="I52" s="15" t="n"/>
      <c r="J52" s="15" t="n"/>
      <c r="K52" s="15" t="inlineStr">
        <is>
          <t>REQ-015</t>
        </is>
      </c>
      <c r="L52" s="16" t="inlineStr">
        <is>
          <t>기존</t>
        </is>
      </c>
      <c r="M52" s="16" t="inlineStr">
        <is>
          <t>v0.1</t>
        </is>
      </c>
      <c r="N52" s="15" t="n"/>
    </row>
    <row r="53">
      <c r="A53" s="19" t="inlineStr">
        <is>
          <t>health_checkups</t>
        </is>
      </c>
      <c r="B53" s="15" t="inlineStr">
        <is>
          <t>건강검진 (보류)</t>
        </is>
      </c>
      <c r="C53" s="15" t="inlineStr">
        <is>
          <t>created_at</t>
        </is>
      </c>
      <c r="D53" s="15" t="inlineStr">
        <is>
          <t>생성 일시</t>
        </is>
      </c>
      <c r="E53" s="15" t="inlineStr">
        <is>
          <t>timestamp</t>
        </is>
      </c>
      <c r="F53" s="16" t="n"/>
      <c r="G53" s="15" t="n"/>
      <c r="H53" s="16" t="inlineStr">
        <is>
          <t>N</t>
        </is>
      </c>
      <c r="I53" s="15" t="inlineStr">
        <is>
          <t>now()</t>
        </is>
      </c>
      <c r="J53" s="15" t="n"/>
      <c r="K53" s="15" t="inlineStr">
        <is>
          <t>REQ-015</t>
        </is>
      </c>
      <c r="L53" s="16" t="inlineStr">
        <is>
          <t>기존</t>
        </is>
      </c>
      <c r="M53" s="16" t="inlineStr">
        <is>
          <t>v0.1</t>
        </is>
      </c>
      <c r="N53" s="15" t="n"/>
    </row>
    <row r="54">
      <c r="A54" s="19" t="inlineStr">
        <is>
          <t>checkup_results</t>
        </is>
      </c>
      <c r="B54" s="15" t="inlineStr">
        <is>
          <t>건강검진 결과 (보류)</t>
        </is>
      </c>
      <c r="C54" s="15" t="inlineStr">
        <is>
          <t>id</t>
        </is>
      </c>
      <c r="D54" s="15" t="inlineStr">
        <is>
          <t>ID</t>
        </is>
      </c>
      <c r="E54" s="15" t="inlineStr">
        <is>
          <t>bigint</t>
        </is>
      </c>
      <c r="F54" s="16" t="inlineStr">
        <is>
          <t>PK</t>
        </is>
      </c>
      <c r="G54" s="15" t="n"/>
      <c r="H54" s="16" t="inlineStr">
        <is>
          <t>Y</t>
        </is>
      </c>
      <c r="I54" s="15" t="n"/>
      <c r="J54" s="15" t="n"/>
      <c r="K54" s="15" t="inlineStr">
        <is>
          <t>REQ-015</t>
        </is>
      </c>
      <c r="L54" s="16" t="inlineStr">
        <is>
          <t>기존</t>
        </is>
      </c>
      <c r="M54" s="16" t="inlineStr">
        <is>
          <t>v0.1</t>
        </is>
      </c>
      <c r="N54" s="15" t="inlineStr">
        <is>
          <t>보류 (REQ-015)</t>
        </is>
      </c>
    </row>
    <row r="55">
      <c r="A55" s="19" t="inlineStr">
        <is>
          <t>checkup_results</t>
        </is>
      </c>
      <c r="B55" s="15" t="inlineStr">
        <is>
          <t>건강검진 결과 (보류)</t>
        </is>
      </c>
      <c r="C55" s="15" t="inlineStr">
        <is>
          <t>checkup_id</t>
        </is>
      </c>
      <c r="D55" s="15" t="inlineStr">
        <is>
          <t>건강검진 ID</t>
        </is>
      </c>
      <c r="E55" s="15" t="inlineStr">
        <is>
          <t>bigint</t>
        </is>
      </c>
      <c r="F55" s="16" t="inlineStr">
        <is>
          <t>FK</t>
        </is>
      </c>
      <c r="G55" s="15" t="inlineStr">
        <is>
          <t>health_checkups.id</t>
        </is>
      </c>
      <c r="H55" s="16" t="inlineStr">
        <is>
          <t>Y</t>
        </is>
      </c>
      <c r="I55" s="15" t="n"/>
      <c r="J55" s="15" t="n"/>
      <c r="K55" s="15" t="inlineStr">
        <is>
          <t>REQ-015</t>
        </is>
      </c>
      <c r="L55" s="16" t="inlineStr">
        <is>
          <t>기존</t>
        </is>
      </c>
      <c r="M55" s="16" t="inlineStr">
        <is>
          <t>v0.1</t>
        </is>
      </c>
      <c r="N55" s="15" t="n"/>
    </row>
    <row r="56">
      <c r="A56" s="20" t="inlineStr">
        <is>
          <t>checkup_results</t>
        </is>
      </c>
      <c r="B56" s="21" t="inlineStr">
        <is>
          <t>건강검진 결과 (보류)</t>
        </is>
      </c>
      <c r="C56" s="21" t="inlineStr">
        <is>
          <t>item_code</t>
        </is>
      </c>
      <c r="D56" s="21" t="inlineStr">
        <is>
          <t>검사 항목 코드</t>
        </is>
      </c>
      <c r="E56" s="21" t="inlineStr">
        <is>
          <t>varchar(8)</t>
        </is>
      </c>
      <c r="F56" s="22" t="inlineStr">
        <is>
          <t>FK</t>
        </is>
      </c>
      <c r="G56" s="21" t="inlineStr">
        <is>
          <t>checkup_items.code</t>
        </is>
      </c>
      <c r="H56" s="22" t="inlineStr">
        <is>
          <t>N</t>
        </is>
      </c>
      <c r="I56" s="21" t="n"/>
      <c r="J56" s="21" t="n"/>
      <c r="K56" s="21" t="inlineStr">
        <is>
          <t>REQ-015</t>
        </is>
      </c>
      <c r="L56" s="22" t="inlineStr">
        <is>
          <t>수정</t>
        </is>
      </c>
      <c r="M56" s="22" t="inlineStr">
        <is>
          <t>v1.0</t>
        </is>
      </c>
      <c r="N56" s="21" t="n"/>
    </row>
    <row r="57">
      <c r="A57" s="20" t="inlineStr">
        <is>
          <t>checkup_results</t>
        </is>
      </c>
      <c r="B57" s="21" t="inlineStr">
        <is>
          <t>건강검진 결과 (보류)</t>
        </is>
      </c>
      <c r="C57" s="21" t="inlineStr">
        <is>
          <t>value_num</t>
        </is>
      </c>
      <c r="D57" s="21" t="inlineStr">
        <is>
          <t>결과 수치</t>
        </is>
      </c>
      <c r="E57" s="21" t="inlineStr">
        <is>
          <t>decimal(12,3)</t>
        </is>
      </c>
      <c r="F57" s="22" t="n"/>
      <c r="G57" s="21" t="n"/>
      <c r="H57" s="22" t="inlineStr">
        <is>
          <t>N</t>
        </is>
      </c>
      <c r="I57" s="21" t="n"/>
      <c r="J57" s="21" t="n"/>
      <c r="K57" s="21" t="inlineStr">
        <is>
          <t>REQ-015</t>
        </is>
      </c>
      <c r="L57" s="22" t="inlineStr">
        <is>
          <t>수정</t>
        </is>
      </c>
      <c r="M57" s="22" t="inlineStr">
        <is>
          <t>v1.0</t>
        </is>
      </c>
      <c r="N57" s="21" t="n"/>
    </row>
    <row r="58">
      <c r="A58" s="20" t="inlineStr">
        <is>
          <t>checkup_results</t>
        </is>
      </c>
      <c r="B58" s="21" t="inlineStr">
        <is>
          <t>건강검진 결과 (보류)</t>
        </is>
      </c>
      <c r="C58" s="21" t="inlineStr">
        <is>
          <t>value_text</t>
        </is>
      </c>
      <c r="D58" s="21" t="inlineStr">
        <is>
          <t>결과 판정</t>
        </is>
      </c>
      <c r="E58" s="21" t="inlineStr">
        <is>
          <t>varchar(200)</t>
        </is>
      </c>
      <c r="F58" s="22" t="n"/>
      <c r="G58" s="21" t="n"/>
      <c r="H58" s="22" t="inlineStr">
        <is>
          <t>N</t>
        </is>
      </c>
      <c r="I58" s="21" t="n"/>
      <c r="J58" s="21" t="n"/>
      <c r="K58" s="21" t="inlineStr">
        <is>
          <t>REQ-015</t>
        </is>
      </c>
      <c r="L58" s="22" t="inlineStr">
        <is>
          <t>수정</t>
        </is>
      </c>
      <c r="M58" s="22" t="inlineStr">
        <is>
          <t>v1.0</t>
        </is>
      </c>
      <c r="N58" s="21" t="n"/>
    </row>
  </sheetData>
  <autoFilter ref="A4:N56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v1.3 · 분석</t>
        </is>
      </c>
    </row>
    <row r="2">
      <c r="A2" s="42" t="inlineStr">
        <is>
          <t>채연 · 분석 작업 · 안전성 경고 · 안내문 · 피드백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19" t="inlineStr">
        <is>
          <t>analyses</t>
        </is>
      </c>
      <c r="B5" s="15" t="inlineStr">
        <is>
          <t>분석 작업</t>
        </is>
      </c>
      <c r="C5" s="15" t="inlineStr">
        <is>
          <t>id</t>
        </is>
      </c>
      <c r="D5" s="15" t="inlineStr">
        <is>
          <t>ID</t>
        </is>
      </c>
      <c r="E5" s="15" t="inlineStr">
        <is>
          <t>bigint</t>
        </is>
      </c>
      <c r="F5" s="16" t="inlineStr">
        <is>
          <t>PK</t>
        </is>
      </c>
      <c r="G5" s="15" t="inlineStr"/>
      <c r="H5" s="16" t="inlineStr">
        <is>
          <t>Y</t>
        </is>
      </c>
      <c r="I5" s="15" t="inlineStr"/>
      <c r="J5" s="15" t="inlineStr"/>
      <c r="K5" s="15" t="inlineStr">
        <is>
          <t>RG-01 · RG-01-E1 · CM-04 · R-1~3 · R-7 · R-8</t>
        </is>
      </c>
      <c r="L5" s="16" t="inlineStr">
        <is>
          <t>기존</t>
        </is>
      </c>
      <c r="M5" s="16" t="inlineStr">
        <is>
          <t>v0.1</t>
        </is>
      </c>
      <c r="N5" s="15" t="inlineStr">
        <is>
          <t>v1.0 · prescription_id 칸 삭제 → analysis_prescriptions로 1:N. job_id 대신 id로 폴링</t>
        </is>
      </c>
    </row>
    <row r="6">
      <c r="A6" s="19" t="inlineStr">
        <is>
          <t>analyses</t>
        </is>
      </c>
      <c r="B6" s="15" t="inlineStr">
        <is>
          <t>분석 작업</t>
        </is>
      </c>
      <c r="C6" s="15" t="inlineStr">
        <is>
          <t>user_id</t>
        </is>
      </c>
      <c r="D6" s="15" t="inlineStr">
        <is>
          <t>사용자 ID</t>
        </is>
      </c>
      <c r="E6" s="15" t="inlineStr">
        <is>
          <t>bigint</t>
        </is>
      </c>
      <c r="F6" s="16" t="inlineStr">
        <is>
          <t>FK</t>
        </is>
      </c>
      <c r="G6" s="15" t="inlineStr">
        <is>
          <t>users.id</t>
        </is>
      </c>
      <c r="H6" s="16" t="inlineStr">
        <is>
          <t>Y</t>
        </is>
      </c>
      <c r="I6" s="15" t="inlineStr"/>
      <c r="J6" s="15" t="inlineStr"/>
      <c r="K6" s="15" t="inlineStr">
        <is>
          <t>RG-01 · RG-01-E1 · CM-04 · R-1~3 · R-7 · R-8</t>
        </is>
      </c>
      <c r="L6" s="16" t="inlineStr">
        <is>
          <t>기존</t>
        </is>
      </c>
      <c r="M6" s="16" t="inlineStr">
        <is>
          <t>v0.1</t>
        </is>
      </c>
      <c r="N6" s="15" t="inlineStr"/>
    </row>
    <row r="7">
      <c r="A7" s="20" t="inlineStr">
        <is>
          <t>analyses</t>
        </is>
      </c>
      <c r="B7" s="21" t="inlineStr">
        <is>
          <t>분석 작업</t>
        </is>
      </c>
      <c r="C7" s="21" t="inlineStr">
        <is>
          <t>status</t>
        </is>
      </c>
      <c r="D7" s="21" t="inlineStr">
        <is>
          <t>상태</t>
        </is>
      </c>
      <c r="E7" s="21" t="inlineStr">
        <is>
          <t>varchar(20)</t>
        </is>
      </c>
      <c r="F7" s="22" t="inlineStr"/>
      <c r="G7" s="21" t="inlineStr"/>
      <c r="H7" s="22" t="inlineStr">
        <is>
          <t>Y</t>
        </is>
      </c>
      <c r="I7" s="21" t="inlineStr"/>
      <c r="J7" s="21" t="inlineStr">
        <is>
          <t>queued / running / done / failed</t>
        </is>
      </c>
      <c r="K7" s="21" t="inlineStr">
        <is>
          <t>RG-01 · RG-01-E1 · CM-04 · R-1~3 · R-7 · R-8</t>
        </is>
      </c>
      <c r="L7" s="22" t="inlineStr">
        <is>
          <t>수정</t>
        </is>
      </c>
      <c r="M7" s="22" t="inlineStr">
        <is>
          <t>v1.0</t>
        </is>
      </c>
      <c r="N7" s="21" t="inlineStr"/>
    </row>
    <row r="8">
      <c r="A8" s="23" t="inlineStr">
        <is>
          <t>analyses</t>
        </is>
      </c>
      <c r="B8" s="24" t="inlineStr">
        <is>
          <t>분석 작업</t>
        </is>
      </c>
      <c r="C8" s="24" t="inlineStr">
        <is>
          <t>current_step</t>
        </is>
      </c>
      <c r="D8" s="24" t="inlineStr">
        <is>
          <t>진행 단계</t>
        </is>
      </c>
      <c r="E8" s="24" t="inlineStr">
        <is>
          <t>varchar(30)</t>
        </is>
      </c>
      <c r="F8" s="25" t="inlineStr"/>
      <c r="G8" s="24" t="inlineStr"/>
      <c r="H8" s="25" t="inlineStr">
        <is>
          <t>N</t>
        </is>
      </c>
      <c r="I8" s="24" t="inlineStr"/>
      <c r="J8" s="24" t="inlineStr">
        <is>
          <t>drug_info / safety_check / guide_generation (RG-01 진행 단계)</t>
        </is>
      </c>
      <c r="K8" s="24" t="inlineStr">
        <is>
          <t>RG-01 · RG-01-E1 · CM-04 · R-1~3 · R-7 · R-8</t>
        </is>
      </c>
      <c r="L8" s="25" t="inlineStr">
        <is>
          <t>신규</t>
        </is>
      </c>
      <c r="M8" s="25" t="inlineStr">
        <is>
          <t>v1.0</t>
        </is>
      </c>
      <c r="N8" s="24" t="inlineStr"/>
    </row>
    <row r="9">
      <c r="A9" s="23" t="inlineStr">
        <is>
          <t>analyses</t>
        </is>
      </c>
      <c r="B9" s="24" t="inlineStr">
        <is>
          <t>분석 작업</t>
        </is>
      </c>
      <c r="C9" s="24" t="inlineStr">
        <is>
          <t>failed_step</t>
        </is>
      </c>
      <c r="D9" s="24" t="inlineStr">
        <is>
          <t>실패 단계</t>
        </is>
      </c>
      <c r="E9" s="24" t="inlineStr">
        <is>
          <t>varchar(30)</t>
        </is>
      </c>
      <c r="F9" s="25" t="inlineStr"/>
      <c r="G9" s="24" t="inlineStr"/>
      <c r="H9" s="25" t="inlineStr">
        <is>
          <t>N</t>
        </is>
      </c>
      <c r="I9" s="24" t="inlineStr"/>
      <c r="J9" s="24" t="inlineStr">
        <is>
          <t>실패한 단계 (RG-01-E1)</t>
        </is>
      </c>
      <c r="K9" s="24" t="inlineStr">
        <is>
          <t>RG-01 · RG-01-E1 · CM-04 · R-1~3 · R-7 · R-8</t>
        </is>
      </c>
      <c r="L9" s="25" t="inlineStr">
        <is>
          <t>신규</t>
        </is>
      </c>
      <c r="M9" s="25" t="inlineStr">
        <is>
          <t>v1.0</t>
        </is>
      </c>
      <c r="N9" s="24" t="inlineStr"/>
    </row>
    <row r="10">
      <c r="A10" s="23" t="inlineStr">
        <is>
          <t>analyses</t>
        </is>
      </c>
      <c r="B10" s="24" t="inlineStr">
        <is>
          <t>분석 작업</t>
        </is>
      </c>
      <c r="C10" s="24" t="inlineStr">
        <is>
          <t>error_code</t>
        </is>
      </c>
      <c r="D10" s="24" t="inlineStr">
        <is>
          <t>에러 코드</t>
        </is>
      </c>
      <c r="E10" s="24" t="inlineStr">
        <is>
          <t>varchar(50)</t>
        </is>
      </c>
      <c r="F10" s="25" t="inlineStr"/>
      <c r="G10" s="24" t="inlineStr"/>
      <c r="H10" s="25" t="inlineStr">
        <is>
          <t>N</t>
        </is>
      </c>
      <c r="I10" s="24" t="inlineStr"/>
      <c r="J10" s="24" t="inlineStr">
        <is>
          <t>GUIDE_GENERATION_FAILED / SAFETY_CHECK_FAILED / TIMEOUT</t>
        </is>
      </c>
      <c r="K10" s="24" t="inlineStr">
        <is>
          <t>RG-01 · RG-01-E1 · CM-04 · R-1~3 · R-7 · R-8</t>
        </is>
      </c>
      <c r="L10" s="25" t="inlineStr">
        <is>
          <t>신규</t>
        </is>
      </c>
      <c r="M10" s="25" t="inlineStr">
        <is>
          <t>v1.0</t>
        </is>
      </c>
      <c r="N10" s="24" t="inlineStr"/>
    </row>
    <row r="11">
      <c r="A11" s="23" t="inlineStr">
        <is>
          <t>analyses</t>
        </is>
      </c>
      <c r="B11" s="24" t="inlineStr">
        <is>
          <t>분석 작업</t>
        </is>
      </c>
      <c r="C11" s="24" t="inlineStr">
        <is>
          <t>retry_count</t>
        </is>
      </c>
      <c r="D11" s="24" t="inlineStr">
        <is>
          <t>재시도 횟수</t>
        </is>
      </c>
      <c r="E11" s="24" t="inlineStr">
        <is>
          <t>smallint</t>
        </is>
      </c>
      <c r="F11" s="25" t="inlineStr"/>
      <c r="G11" s="24" t="inlineStr"/>
      <c r="H11" s="25" t="inlineStr">
        <is>
          <t>N</t>
        </is>
      </c>
      <c r="I11" s="24" t="inlineStr">
        <is>
          <t>0</t>
        </is>
      </c>
      <c r="J11" s="24" t="inlineStr">
        <is>
          <t>3회 초과 시 재시도 막음 (REQ-055)</t>
        </is>
      </c>
      <c r="K11" s="24" t="inlineStr">
        <is>
          <t>RG-01 · RG-01-E1 · CM-04 · R-1~3 · R-7 · R-8</t>
        </is>
      </c>
      <c r="L11" s="25" t="inlineStr">
        <is>
          <t>신규</t>
        </is>
      </c>
      <c r="M11" s="25" t="inlineStr">
        <is>
          <t>v1.0</t>
        </is>
      </c>
      <c r="N11" s="24" t="inlineStr"/>
    </row>
    <row r="12">
      <c r="A12" s="23" t="inlineStr">
        <is>
          <t>analyses</t>
        </is>
      </c>
      <c r="B12" s="24" t="inlineStr">
        <is>
          <t>분석 작업</t>
        </is>
      </c>
      <c r="C12" s="24" t="inlineStr">
        <is>
          <t>user_birth_year</t>
        </is>
      </c>
      <c r="D12" s="24" t="inlineStr">
        <is>
          <t>분석 시점 출생연도</t>
        </is>
      </c>
      <c r="E12" s="24" t="inlineStr">
        <is>
          <t>smallint</t>
        </is>
      </c>
      <c r="F12" s="25" t="inlineStr"/>
      <c r="G12" s="24" t="inlineStr"/>
      <c r="H12" s="25" t="inlineStr">
        <is>
          <t>N</t>
        </is>
      </c>
      <c r="I12" s="24" t="inlineStr"/>
      <c r="J12" s="24" t="inlineStr">
        <is>
          <t>분석 시점 출생연도 스냅샷 — 정보 수정해도 지난 결과는 그대로 (CM-06)</t>
        </is>
      </c>
      <c r="K12" s="24" t="inlineStr">
        <is>
          <t>RG-01 · RG-01-E1 · CM-04 · R-1~3 · R-7 · R-8</t>
        </is>
      </c>
      <c r="L12" s="25" t="inlineStr">
        <is>
          <t>신규</t>
        </is>
      </c>
      <c r="M12" s="25" t="inlineStr">
        <is>
          <t>v1.0</t>
        </is>
      </c>
      <c r="N12" s="24" t="inlineStr"/>
    </row>
    <row r="13">
      <c r="A13" s="23" t="inlineStr">
        <is>
          <t>analyses</t>
        </is>
      </c>
      <c r="B13" s="24" t="inlineStr">
        <is>
          <t>분석 작업</t>
        </is>
      </c>
      <c r="C13" s="24" t="inlineStr">
        <is>
          <t>health_snapshot</t>
        </is>
      </c>
      <c r="D13" s="24" t="inlineStr">
        <is>
          <t>분석 시점 건강 정보</t>
        </is>
      </c>
      <c r="E13" s="24" t="inlineStr">
        <is>
          <t>jsonb</t>
        </is>
      </c>
      <c r="F13" s="25" t="n"/>
      <c r="G13" s="24" t="n"/>
      <c r="H13" s="25" t="inlineStr">
        <is>
          <t>N</t>
        </is>
      </c>
      <c r="I13" s="24" t="n"/>
      <c r="J13" s="24" t="inlineStr">
        <is>
          <t>분석 시점 건강 정보(user_health_profiles) 스냅샷. 정보를 고쳐도 지난 결과는 그대로 (10/14 회의 3번 채연 안, 이슈 #101)</t>
        </is>
      </c>
      <c r="K13" s="24" t="inlineStr">
        <is>
          <t>RG-01 · RG-01-E1 · CM-04 · R-1~3 · R-7 · R-8</t>
        </is>
      </c>
      <c r="L13" s="25" t="inlineStr">
        <is>
          <t>신규</t>
        </is>
      </c>
      <c r="M13" s="25" t="inlineStr">
        <is>
          <t>v1.5</t>
        </is>
      </c>
      <c r="N13" s="24" t="n"/>
    </row>
    <row r="14">
      <c r="A14" s="19" t="inlineStr">
        <is>
          <t>analyses</t>
        </is>
      </c>
      <c r="B14" s="15" t="inlineStr">
        <is>
          <t>분석 작업</t>
        </is>
      </c>
      <c r="C14" s="15" t="inlineStr">
        <is>
          <t>started_at</t>
        </is>
      </c>
      <c r="D14" s="15" t="inlineStr">
        <is>
          <t>시작 일시</t>
        </is>
      </c>
      <c r="E14" s="15" t="inlineStr">
        <is>
          <t>timestamp</t>
        </is>
      </c>
      <c r="F14" s="16" t="inlineStr"/>
      <c r="G14" s="15" t="inlineStr"/>
      <c r="H14" s="16" t="inlineStr">
        <is>
          <t>N</t>
        </is>
      </c>
      <c r="I14" s="15" t="inlineStr"/>
      <c r="J14" s="15" t="inlineStr"/>
      <c r="K14" s="15" t="inlineStr">
        <is>
          <t>RG-01 · RG-01-E1 · CM-04 · R-1~3 · R-7 · R-8</t>
        </is>
      </c>
      <c r="L14" s="16" t="inlineStr">
        <is>
          <t>기존</t>
        </is>
      </c>
      <c r="M14" s="16" t="inlineStr">
        <is>
          <t>v0.1</t>
        </is>
      </c>
      <c r="N14" s="15" t="inlineStr"/>
    </row>
    <row r="15">
      <c r="A15" s="19" t="inlineStr">
        <is>
          <t>analyses</t>
        </is>
      </c>
      <c r="B15" s="15" t="inlineStr">
        <is>
          <t>분석 작업</t>
        </is>
      </c>
      <c r="C15" s="15" t="inlineStr">
        <is>
          <t>finished_at</t>
        </is>
      </c>
      <c r="D15" s="15" t="inlineStr">
        <is>
          <t>종료 일시</t>
        </is>
      </c>
      <c r="E15" s="15" t="inlineStr">
        <is>
          <t>timestamp</t>
        </is>
      </c>
      <c r="F15" s="16" t="inlineStr"/>
      <c r="G15" s="15" t="inlineStr"/>
      <c r="H15" s="16" t="inlineStr">
        <is>
          <t>N</t>
        </is>
      </c>
      <c r="I15" s="15" t="inlineStr"/>
      <c r="J15" s="15" t="inlineStr"/>
      <c r="K15" s="15" t="inlineStr">
        <is>
          <t>RG-01 · RG-01-E1 · CM-04 · R-1~3 · R-7 · R-8</t>
        </is>
      </c>
      <c r="L15" s="16" t="inlineStr">
        <is>
          <t>기존</t>
        </is>
      </c>
      <c r="M15" s="16" t="inlineStr">
        <is>
          <t>v0.1</t>
        </is>
      </c>
      <c r="N15" s="15" t="inlineStr"/>
    </row>
    <row r="16">
      <c r="A16" s="23" t="inlineStr">
        <is>
          <t>analyses</t>
        </is>
      </c>
      <c r="B16" s="24" t="inlineStr">
        <is>
          <t>분석 작업</t>
        </is>
      </c>
      <c r="C16" s="24" t="inlineStr">
        <is>
          <t>created_at</t>
        </is>
      </c>
      <c r="D16" s="24" t="inlineStr">
        <is>
          <t>생성 일시</t>
        </is>
      </c>
      <c r="E16" s="24" t="inlineStr">
        <is>
          <t>timestamp</t>
        </is>
      </c>
      <c r="F16" s="25" t="inlineStr"/>
      <c r="G16" s="24" t="inlineStr"/>
      <c r="H16" s="25" t="inlineStr">
        <is>
          <t>N</t>
        </is>
      </c>
      <c r="I16" s="24" t="inlineStr">
        <is>
          <t>now()</t>
        </is>
      </c>
      <c r="J16" s="24" t="inlineStr"/>
      <c r="K16" s="24" t="inlineStr">
        <is>
          <t>RG-01 · RG-01-E1 · CM-04 · R-1~3 · R-7 · R-8</t>
        </is>
      </c>
      <c r="L16" s="25" t="inlineStr">
        <is>
          <t>신규</t>
        </is>
      </c>
      <c r="M16" s="25" t="inlineStr">
        <is>
          <t>v1.0</t>
        </is>
      </c>
      <c r="N16" s="24" t="inlineStr"/>
    </row>
    <row r="17">
      <c r="A17" s="23" t="inlineStr">
        <is>
          <t>analysis_prescriptions</t>
        </is>
      </c>
      <c r="B17" s="24" t="inlineStr">
        <is>
          <t>분석-처방전 연결</t>
        </is>
      </c>
      <c r="C17" s="24" t="inlineStr">
        <is>
          <t>analysis_id</t>
        </is>
      </c>
      <c r="D17" s="24" t="inlineStr">
        <is>
          <t>분석 ID</t>
        </is>
      </c>
      <c r="E17" s="24" t="inlineStr">
        <is>
          <t>bigint</t>
        </is>
      </c>
      <c r="F17" s="25" t="inlineStr">
        <is>
          <t>PK · FK</t>
        </is>
      </c>
      <c r="G17" s="24" t="inlineStr">
        <is>
          <t>analyses.id</t>
        </is>
      </c>
      <c r="H17" s="25" t="inlineStr">
        <is>
          <t>Y</t>
        </is>
      </c>
      <c r="I17" s="24" t="inlineStr"/>
      <c r="J17" s="24" t="inlineStr"/>
      <c r="K17" s="24" t="inlineStr">
        <is>
          <t>R-1</t>
        </is>
      </c>
      <c r="L17" s="25" t="inlineStr">
        <is>
          <t>신규</t>
        </is>
      </c>
      <c r="M17" s="25" t="inlineStr">
        <is>
          <t>v1.0</t>
        </is>
      </c>
      <c r="N17" s="24" t="inlineStr">
        <is>
          <t>v1.0 신규 · 여러 병원 처방전을 한 번에 점검 (최대 5장, REQ-013)</t>
        </is>
      </c>
    </row>
    <row r="18">
      <c r="A18" s="23" t="inlineStr">
        <is>
          <t>analysis_prescriptions</t>
        </is>
      </c>
      <c r="B18" s="24" t="inlineStr">
        <is>
          <t>분석-처방전 연결</t>
        </is>
      </c>
      <c r="C18" s="24" t="inlineStr">
        <is>
          <t>prescription_id</t>
        </is>
      </c>
      <c r="D18" s="24" t="inlineStr">
        <is>
          <t>처방전 ID</t>
        </is>
      </c>
      <c r="E18" s="24" t="inlineStr">
        <is>
          <t>bigint</t>
        </is>
      </c>
      <c r="F18" s="25" t="inlineStr">
        <is>
          <t>PK · FK</t>
        </is>
      </c>
      <c r="G18" s="24" t="inlineStr">
        <is>
          <t>prescriptions.id</t>
        </is>
      </c>
      <c r="H18" s="25" t="inlineStr">
        <is>
          <t>Y</t>
        </is>
      </c>
      <c r="I18" s="24" t="inlineStr"/>
      <c r="J18" s="24" t="inlineStr"/>
      <c r="K18" s="24" t="inlineStr">
        <is>
          <t>R-1</t>
        </is>
      </c>
      <c r="L18" s="25" t="inlineStr">
        <is>
          <t>신규</t>
        </is>
      </c>
      <c r="M18" s="25" t="inlineStr">
        <is>
          <t>v1.0</t>
        </is>
      </c>
      <c r="N18" s="24" t="inlineStr"/>
    </row>
    <row r="19">
      <c r="A19" s="23" t="inlineStr">
        <is>
          <t>analysis_diseases</t>
        </is>
      </c>
      <c r="B19" s="24" t="inlineStr">
        <is>
          <t>분석 질환</t>
        </is>
      </c>
      <c r="C19" s="24" t="inlineStr">
        <is>
          <t>analysis_id</t>
        </is>
      </c>
      <c r="D19" s="24" t="inlineStr">
        <is>
          <t>분석 ID</t>
        </is>
      </c>
      <c r="E19" s="24" t="inlineStr">
        <is>
          <t>bigint</t>
        </is>
      </c>
      <c r="F19" s="25" t="inlineStr">
        <is>
          <t>PK · FK</t>
        </is>
      </c>
      <c r="G19" s="24" t="inlineStr">
        <is>
          <t>analyses.id</t>
        </is>
      </c>
      <c r="H19" s="25" t="inlineStr">
        <is>
          <t>Y</t>
        </is>
      </c>
      <c r="I19" s="24" t="inlineStr"/>
      <c r="J19" s="24" t="inlineStr"/>
      <c r="K19" s="24" t="inlineStr">
        <is>
          <t>RG-05 · RG-05-E1 · R-6</t>
        </is>
      </c>
      <c r="L19" s="25" t="inlineStr">
        <is>
          <t>신규</t>
        </is>
      </c>
      <c r="M19" s="25" t="inlineStr">
        <is>
          <t>v1.0</t>
        </is>
      </c>
      <c r="N19" s="24" t="inlineStr">
        <is>
          <t>v1.0 신규 · 생활습관 가이드 조회 기준</t>
        </is>
      </c>
    </row>
    <row r="20">
      <c r="A20" s="23" t="inlineStr">
        <is>
          <t>analysis_diseases</t>
        </is>
      </c>
      <c r="B20" s="24" t="inlineStr">
        <is>
          <t>분석 질환</t>
        </is>
      </c>
      <c r="C20" s="24" t="inlineStr">
        <is>
          <t>disease_code</t>
        </is>
      </c>
      <c r="D20" s="24" t="inlineStr">
        <is>
          <t>상병 코드</t>
        </is>
      </c>
      <c r="E20" s="24" t="inlineStr">
        <is>
          <t>varchar(10)</t>
        </is>
      </c>
      <c r="F20" s="25" t="inlineStr">
        <is>
          <t>PK · FK</t>
        </is>
      </c>
      <c r="G20" s="24" t="inlineStr">
        <is>
          <t>diseases.code</t>
        </is>
      </c>
      <c r="H20" s="25" t="inlineStr">
        <is>
          <t>Y</t>
        </is>
      </c>
      <c r="I20" s="24" t="inlineStr"/>
      <c r="J20" s="24" t="inlineStr"/>
      <c r="K20" s="24" t="inlineStr">
        <is>
          <t>RG-05 · RG-05-E1 · R-6</t>
        </is>
      </c>
      <c r="L20" s="25" t="inlineStr">
        <is>
          <t>신규</t>
        </is>
      </c>
      <c r="M20" s="25" t="inlineStr">
        <is>
          <t>v1.0</t>
        </is>
      </c>
      <c r="N20" s="24" t="inlineStr"/>
    </row>
    <row r="21">
      <c r="A21" s="23" t="inlineStr">
        <is>
          <t>analysis_diseases</t>
        </is>
      </c>
      <c r="B21" s="24" t="inlineStr">
        <is>
          <t>분석 질환</t>
        </is>
      </c>
      <c r="C21" s="24" t="inlineStr">
        <is>
          <t>origin</t>
        </is>
      </c>
      <c r="D21" s="24" t="inlineStr">
        <is>
          <t>출처 구분</t>
        </is>
      </c>
      <c r="E21" s="24" t="inlineStr">
        <is>
          <t>varchar(20)</t>
        </is>
      </c>
      <c r="F21" s="25" t="inlineStr"/>
      <c r="G21" s="24" t="inlineStr"/>
      <c r="H21" s="25" t="inlineStr">
        <is>
          <t>Y</t>
        </is>
      </c>
      <c r="I21" s="24" t="inlineStr"/>
      <c r="J21" s="24" t="inlineStr">
        <is>
          <t>prescription(처방전 코드) / user(RG-05-E1에서 직접 선택)</t>
        </is>
      </c>
      <c r="K21" s="24" t="inlineStr">
        <is>
          <t>RG-05 · RG-05-E1 · R-6</t>
        </is>
      </c>
      <c r="L21" s="25" t="inlineStr">
        <is>
          <t>신규</t>
        </is>
      </c>
      <c r="M21" s="25" t="inlineStr">
        <is>
          <t>v1.0</t>
        </is>
      </c>
      <c r="N21" s="24" t="inlineStr"/>
    </row>
    <row r="22">
      <c r="A22" s="19" t="inlineStr">
        <is>
          <t>analysis_warnings</t>
        </is>
      </c>
      <c r="B22" s="15" t="inlineStr">
        <is>
          <t>안전성 경고</t>
        </is>
      </c>
      <c r="C22" s="15" t="inlineStr">
        <is>
          <t>id</t>
        </is>
      </c>
      <c r="D22" s="15" t="inlineStr">
        <is>
          <t>ID</t>
        </is>
      </c>
      <c r="E22" s="15" t="inlineStr">
        <is>
          <t>bigint</t>
        </is>
      </c>
      <c r="F22" s="16" t="inlineStr">
        <is>
          <t>PK</t>
        </is>
      </c>
      <c r="G22" s="15" t="inlineStr"/>
      <c r="H22" s="16" t="inlineStr">
        <is>
          <t>Y</t>
        </is>
      </c>
      <c r="I22" s="15" t="inlineStr"/>
      <c r="J22" s="15" t="inlineStr"/>
      <c r="K22" s="15" t="inlineStr">
        <is>
          <t>RG-02 · RG-02-E1 · RG-03 · R-4 · R-5</t>
        </is>
      </c>
      <c r="L22" s="16" t="inlineStr">
        <is>
          <t>기존</t>
        </is>
      </c>
      <c r="M22" s="16" t="inlineStr">
        <is>
          <t>v0.1</t>
        </is>
      </c>
      <c r="N22" s="15" t="inlineStr">
        <is>
          <t>DB 조회로 결정적으로 산출. 0건이면 RG-02-E1</t>
        </is>
      </c>
    </row>
    <row r="23">
      <c r="A23" s="19" t="inlineStr">
        <is>
          <t>analysis_warnings</t>
        </is>
      </c>
      <c r="B23" s="15" t="inlineStr">
        <is>
          <t>안전성 경고</t>
        </is>
      </c>
      <c r="C23" s="15" t="inlineStr">
        <is>
          <t>analysis_id</t>
        </is>
      </c>
      <c r="D23" s="15" t="inlineStr">
        <is>
          <t>분석 ID</t>
        </is>
      </c>
      <c r="E23" s="15" t="inlineStr">
        <is>
          <t>bigint</t>
        </is>
      </c>
      <c r="F23" s="16" t="inlineStr">
        <is>
          <t>FK</t>
        </is>
      </c>
      <c r="G23" s="15" t="inlineStr">
        <is>
          <t>analyses.id</t>
        </is>
      </c>
      <c r="H23" s="16" t="inlineStr">
        <is>
          <t>Y</t>
        </is>
      </c>
      <c r="I23" s="15" t="inlineStr"/>
      <c r="J23" s="15" t="inlineStr"/>
      <c r="K23" s="15" t="inlineStr">
        <is>
          <t>RG-02 · RG-02-E1 · RG-03 · R-4 · R-5</t>
        </is>
      </c>
      <c r="L23" s="16" t="inlineStr">
        <is>
          <t>기존</t>
        </is>
      </c>
      <c r="M23" s="16" t="inlineStr">
        <is>
          <t>v0.1</t>
        </is>
      </c>
      <c r="N23" s="15" t="inlineStr"/>
    </row>
    <row r="24">
      <c r="A24" s="20" t="inlineStr">
        <is>
          <t>analysis_warnings</t>
        </is>
      </c>
      <c r="B24" s="21" t="inlineStr">
        <is>
          <t>안전성 경고</t>
        </is>
      </c>
      <c r="C24" s="21" t="inlineStr">
        <is>
          <t>warning_type</t>
        </is>
      </c>
      <c r="D24" s="21" t="inlineStr">
        <is>
          <t>경고 종류</t>
        </is>
      </c>
      <c r="E24" s="21" t="inlineStr">
        <is>
          <t>varchar(30)</t>
        </is>
      </c>
      <c r="F24" s="22" t="inlineStr"/>
      <c r="G24" s="21" t="inlineStr"/>
      <c r="H24" s="22" t="inlineStr">
        <is>
          <t>Y</t>
        </is>
      </c>
      <c r="I24" s="21" t="inlineStr"/>
      <c r="J24" s="21" t="inlineStr">
        <is>
          <t>interaction / duplicate_ingredient / duplicate_efficacy / elderly / age / pregnancy / dose_exceed / polypharmacy(v1.0 🟡)</t>
        </is>
      </c>
      <c r="K24" s="21" t="inlineStr">
        <is>
          <t>RG-02 · RG-02-E1 · RG-03 · R-4 · R-5</t>
        </is>
      </c>
      <c r="L24" s="22" t="inlineStr">
        <is>
          <t>수정</t>
        </is>
      </c>
      <c r="M24" s="22" t="inlineStr">
        <is>
          <t>v1.0</t>
        </is>
      </c>
      <c r="N24" s="21" t="inlineStr"/>
    </row>
    <row r="25">
      <c r="A25" s="20" t="inlineStr">
        <is>
          <t>analysis_warnings</t>
        </is>
      </c>
      <c r="B25" s="21" t="inlineStr">
        <is>
          <t>안전성 경고</t>
        </is>
      </c>
      <c r="C25" s="21" t="inlineStr">
        <is>
          <t>severity</t>
        </is>
      </c>
      <c r="D25" s="21" t="inlineStr">
        <is>
          <t>경고 등급</t>
        </is>
      </c>
      <c r="E25" s="21" t="inlineStr">
        <is>
          <t>varchar(10)</t>
        </is>
      </c>
      <c r="F25" s="22" t="inlineStr"/>
      <c r="G25" s="21" t="inlineStr"/>
      <c r="H25" s="22" t="inlineStr">
        <is>
          <t>Y</t>
        </is>
      </c>
      <c r="I25" s="21" t="inlineStr"/>
      <c r="J25" s="21" t="inlineStr">
        <is>
          <t>danger / caution / info</t>
        </is>
      </c>
      <c r="K25" s="21" t="inlineStr">
        <is>
          <t>RG-02 · RG-02-E1 · RG-03 · R-4 · R-5</t>
        </is>
      </c>
      <c r="L25" s="22" t="inlineStr">
        <is>
          <t>수정</t>
        </is>
      </c>
      <c r="M25" s="22" t="inlineStr">
        <is>
          <t>v1.0</t>
        </is>
      </c>
      <c r="N25" s="21" t="inlineStr"/>
    </row>
    <row r="26">
      <c r="A26" s="23" t="inlineStr">
        <is>
          <t>analysis_warnings</t>
        </is>
      </c>
      <c r="B26" s="24" t="inlineStr">
        <is>
          <t>안전성 경고</t>
        </is>
      </c>
      <c r="C26" s="24" t="inlineStr">
        <is>
          <t>item_id_a</t>
        </is>
      </c>
      <c r="D26" s="24" t="inlineStr">
        <is>
          <t>대상 약 항목 ID</t>
        </is>
      </c>
      <c r="E26" s="24" t="inlineStr">
        <is>
          <t>bigint</t>
        </is>
      </c>
      <c r="F26" s="25" t="inlineStr">
        <is>
          <t>FK</t>
        </is>
      </c>
      <c r="G26" s="24" t="inlineStr">
        <is>
          <t>prescription_items.id</t>
        </is>
      </c>
      <c r="H26" s="25" t="inlineStr">
        <is>
          <t>N</t>
        </is>
      </c>
      <c r="I26" s="24" t="inlineStr"/>
      <c r="J26" s="24" t="inlineStr">
        <is>
          <t>약 이름 대신 항목 참조 (처방 병원 표시용)</t>
        </is>
      </c>
      <c r="K26" s="24" t="inlineStr">
        <is>
          <t>RG-02 · RG-02-E1 · RG-03 · R-4 · R-5</t>
        </is>
      </c>
      <c r="L26" s="25" t="inlineStr">
        <is>
          <t>신규</t>
        </is>
      </c>
      <c r="M26" s="25" t="inlineStr">
        <is>
          <t>v1.0</t>
        </is>
      </c>
      <c r="N26" s="24" t="inlineStr"/>
    </row>
    <row r="27">
      <c r="A27" s="23" t="inlineStr">
        <is>
          <t>analysis_warnings</t>
        </is>
      </c>
      <c r="B27" s="24" t="inlineStr">
        <is>
          <t>안전성 경고</t>
        </is>
      </c>
      <c r="C27" s="24" t="inlineStr">
        <is>
          <t>item_id_b</t>
        </is>
      </c>
      <c r="D27" s="24" t="inlineStr">
        <is>
          <t>상대 약 항목 ID</t>
        </is>
      </c>
      <c r="E27" s="24" t="inlineStr">
        <is>
          <t>bigint</t>
        </is>
      </c>
      <c r="F27" s="25" t="inlineStr">
        <is>
          <t>FK</t>
        </is>
      </c>
      <c r="G27" s="24" t="inlineStr">
        <is>
          <t>prescription_items.id</t>
        </is>
      </c>
      <c r="H27" s="25" t="inlineStr">
        <is>
          <t>N</t>
        </is>
      </c>
      <c r="I27" s="24" t="inlineStr"/>
      <c r="J27" s="24" t="inlineStr">
        <is>
          <t>상대 약 (병용금기 · 중복)</t>
        </is>
      </c>
      <c r="K27" s="24" t="inlineStr">
        <is>
          <t>RG-02 · RG-02-E1 · RG-03 · R-4 · R-5</t>
        </is>
      </c>
      <c r="L27" s="25" t="inlineStr">
        <is>
          <t>신규</t>
        </is>
      </c>
      <c r="M27" s="25" t="inlineStr">
        <is>
          <t>v1.0</t>
        </is>
      </c>
      <c r="N27" s="24" t="inlineStr"/>
    </row>
    <row r="28">
      <c r="A28" s="20" t="inlineStr">
        <is>
          <t>analysis_warnings</t>
        </is>
      </c>
      <c r="B28" s="21" t="inlineStr">
        <is>
          <t>안전성 경고</t>
        </is>
      </c>
      <c r="C28" s="21" t="inlineStr">
        <is>
          <t>reason</t>
        </is>
      </c>
      <c r="D28" s="21" t="inlineStr">
        <is>
          <t>사유</t>
        </is>
      </c>
      <c r="E28" s="21" t="inlineStr">
        <is>
          <t>text</t>
        </is>
      </c>
      <c r="F28" s="22" t="inlineStr"/>
      <c r="G28" s="21" t="inlineStr"/>
      <c r="H28" s="22" t="inlineStr">
        <is>
          <t>N</t>
        </is>
      </c>
      <c r="I28" s="21" t="inlineStr"/>
      <c r="J28" s="21" t="inlineStr">
        <is>
          <t>DUR 금기 사유 원문</t>
        </is>
      </c>
      <c r="K28" s="21" t="inlineStr">
        <is>
          <t>RG-02 · RG-02-E1 · RG-03 · R-4 · R-5</t>
        </is>
      </c>
      <c r="L28" s="22" t="inlineStr">
        <is>
          <t>수정</t>
        </is>
      </c>
      <c r="M28" s="22" t="inlineStr">
        <is>
          <t>v1.0</t>
        </is>
      </c>
      <c r="N28" s="21" t="inlineStr"/>
    </row>
    <row r="29">
      <c r="A29" s="23" t="inlineStr">
        <is>
          <t>analysis_warnings</t>
        </is>
      </c>
      <c r="B29" s="24" t="inlineStr">
        <is>
          <t>안전성 경고</t>
        </is>
      </c>
      <c r="C29" s="24" t="inlineStr">
        <is>
          <t>summary</t>
        </is>
      </c>
      <c r="D29" s="24" t="inlineStr">
        <is>
          <t>화면 표시 문장</t>
        </is>
      </c>
      <c r="E29" s="24" t="inlineStr">
        <is>
          <t>text</t>
        </is>
      </c>
      <c r="F29" s="25" t="inlineStr"/>
      <c r="G29" s="24" t="inlineStr"/>
      <c r="H29" s="25" t="inlineStr">
        <is>
          <t>N</t>
        </is>
      </c>
      <c r="I29" s="24" t="inlineStr"/>
      <c r="J29" s="24" t="inlineStr">
        <is>
          <t>화면 표시 문장 (템플릿, AI 생성 아님 · NFR-032)</t>
        </is>
      </c>
      <c r="K29" s="24" t="inlineStr">
        <is>
          <t>RG-02 · RG-02-E1 · RG-03 · R-4 · R-5</t>
        </is>
      </c>
      <c r="L29" s="25" t="inlineStr">
        <is>
          <t>신규</t>
        </is>
      </c>
      <c r="M29" s="25" t="inlineStr">
        <is>
          <t>v1.0</t>
        </is>
      </c>
      <c r="N29" s="24" t="inlineStr"/>
    </row>
    <row r="30">
      <c r="A30" s="20" t="inlineStr">
        <is>
          <t>analysis_warnings</t>
        </is>
      </c>
      <c r="B30" s="21" t="inlineStr">
        <is>
          <t>안전성 경고</t>
        </is>
      </c>
      <c r="C30" s="21" t="inlineStr">
        <is>
          <t>source</t>
        </is>
      </c>
      <c r="D30" s="21" t="inlineStr">
        <is>
          <t>고시명</t>
        </is>
      </c>
      <c r="E30" s="21" t="inlineStr">
        <is>
          <t>varchar(100)</t>
        </is>
      </c>
      <c r="F30" s="22" t="inlineStr"/>
      <c r="G30" s="21" t="inlineStr"/>
      <c r="H30" s="22" t="inlineStr">
        <is>
          <t>N</t>
        </is>
      </c>
      <c r="I30" s="21" t="inlineStr"/>
      <c r="J30" s="21" t="inlineStr">
        <is>
          <t>식약처 고시명</t>
        </is>
      </c>
      <c r="K30" s="21" t="inlineStr">
        <is>
          <t>RG-02 · RG-02-E1 · RG-03 · R-4 · R-5</t>
        </is>
      </c>
      <c r="L30" s="22" t="inlineStr">
        <is>
          <t>수정</t>
        </is>
      </c>
      <c r="M30" s="22" t="inlineStr">
        <is>
          <t>v1.0</t>
        </is>
      </c>
      <c r="N30" s="21" t="inlineStr"/>
    </row>
    <row r="31">
      <c r="A31" s="23" t="inlineStr">
        <is>
          <t>analysis_warnings</t>
        </is>
      </c>
      <c r="B31" s="24" t="inlineStr">
        <is>
          <t>안전성 경고</t>
        </is>
      </c>
      <c r="C31" s="24" t="inlineStr">
        <is>
          <t>notice_date</t>
        </is>
      </c>
      <c r="D31" s="24" t="inlineStr">
        <is>
          <t>고시일</t>
        </is>
      </c>
      <c r="E31" s="24" t="inlineStr">
        <is>
          <t>date</t>
        </is>
      </c>
      <c r="F31" s="25" t="inlineStr"/>
      <c r="G31" s="24" t="inlineStr"/>
      <c r="H31" s="25" t="inlineStr">
        <is>
          <t>N</t>
        </is>
      </c>
      <c r="I31" s="24" t="inlineStr"/>
      <c r="J31" s="24" t="inlineStr"/>
      <c r="K31" s="24" t="inlineStr">
        <is>
          <t>RG-02 · RG-02-E1 · RG-03 · R-4 · R-5</t>
        </is>
      </c>
      <c r="L31" s="25" t="inlineStr">
        <is>
          <t>신규</t>
        </is>
      </c>
      <c r="M31" s="25" t="inlineStr">
        <is>
          <t>v1.0</t>
        </is>
      </c>
      <c r="N31" s="24" t="inlineStr"/>
    </row>
    <row r="32">
      <c r="A32" s="23" t="inlineStr">
        <is>
          <t>analysis_warnings</t>
        </is>
      </c>
      <c r="B32" s="24" t="inlineStr">
        <is>
          <t>안전성 경고</t>
        </is>
      </c>
      <c r="C32" s="24" t="inlineStr">
        <is>
          <t>daily_total</t>
        </is>
      </c>
      <c r="D32" s="24" t="inlineStr">
        <is>
          <t>1일 총 복용량</t>
        </is>
      </c>
      <c r="E32" s="24" t="inlineStr">
        <is>
          <t>decimal(12,3)</t>
        </is>
      </c>
      <c r="F32" s="25" t="inlineStr"/>
      <c r="G32" s="24" t="inlineStr"/>
      <c r="H32" s="25" t="inlineStr">
        <is>
          <t>N</t>
        </is>
      </c>
      <c r="I32" s="24" t="inlineStr"/>
      <c r="J32" s="24" t="inlineStr">
        <is>
          <t>1일 최대용량 초과일 때만</t>
        </is>
      </c>
      <c r="K32" s="24" t="inlineStr">
        <is>
          <t>RG-02 · RG-02-E1 · RG-03 · R-4 · R-5</t>
        </is>
      </c>
      <c r="L32" s="25" t="inlineStr">
        <is>
          <t>신규</t>
        </is>
      </c>
      <c r="M32" s="25" t="inlineStr">
        <is>
          <t>v1.0</t>
        </is>
      </c>
      <c r="N32" s="24" t="inlineStr"/>
    </row>
    <row r="33">
      <c r="A33" s="23" t="inlineStr">
        <is>
          <t>analysis_warnings</t>
        </is>
      </c>
      <c r="B33" s="24" t="inlineStr">
        <is>
          <t>안전성 경고</t>
        </is>
      </c>
      <c r="C33" s="24" t="inlineStr">
        <is>
          <t>max_daily</t>
        </is>
      </c>
      <c r="D33" s="24" t="inlineStr">
        <is>
          <t>1일 최대 기준량</t>
        </is>
      </c>
      <c r="E33" s="24" t="inlineStr">
        <is>
          <t>decimal(12,3)</t>
        </is>
      </c>
      <c r="F33" s="25" t="inlineStr"/>
      <c r="G33" s="24" t="inlineStr"/>
      <c r="H33" s="25" t="inlineStr">
        <is>
          <t>N</t>
        </is>
      </c>
      <c r="I33" s="24" t="inlineStr"/>
      <c r="J33" s="24" t="inlineStr"/>
      <c r="K33" s="24" t="inlineStr">
        <is>
          <t>RG-02 · RG-02-E1 · RG-03 · R-4 · R-5</t>
        </is>
      </c>
      <c r="L33" s="25" t="inlineStr">
        <is>
          <t>신규</t>
        </is>
      </c>
      <c r="M33" s="25" t="inlineStr">
        <is>
          <t>v1.0</t>
        </is>
      </c>
      <c r="N33" s="24" t="inlineStr"/>
    </row>
    <row r="34">
      <c r="A34" s="23" t="inlineStr">
        <is>
          <t>analysis_warnings</t>
        </is>
      </c>
      <c r="B34" s="24" t="inlineStr">
        <is>
          <t>안전성 경고</t>
        </is>
      </c>
      <c r="C34" s="24" t="inlineStr">
        <is>
          <t>detail</t>
        </is>
      </c>
      <c r="D34" s="24" t="inlineStr">
        <is>
          <t>경고 세부</t>
        </is>
      </c>
      <c r="E34" s="24" t="inlineStr">
        <is>
          <t>jsonb</t>
        </is>
      </c>
      <c r="F34" s="25" t="n"/>
      <c r="G34" s="24" t="n"/>
      <c r="H34" s="25" t="inlineStr">
        <is>
          <t>N</t>
        </is>
      </c>
      <c r="I34" s="24" t="n"/>
      <c r="J34" s="24" t="inlineStr">
        <is>
          <t>약이 3개 이상인 경고의 전체 항목 번호, 성분, 근거 구분</t>
        </is>
      </c>
      <c r="K34" s="24" t="inlineStr">
        <is>
          <t>RG-02 / R-4</t>
        </is>
      </c>
      <c r="L34" s="25" t="inlineStr">
        <is>
          <t>신규</t>
        </is>
      </c>
      <c r="M34" s="25" t="inlineStr">
        <is>
          <t>v1.5</t>
        </is>
      </c>
      <c r="N34" s="24" t="n"/>
    </row>
    <row r="35">
      <c r="A35" s="19" t="inlineStr">
        <is>
          <t>guides</t>
        </is>
      </c>
      <c r="B35" s="15" t="inlineStr">
        <is>
          <t>복약 · 생활습관 안내문</t>
        </is>
      </c>
      <c r="C35" s="15" t="inlineStr">
        <is>
          <t>id</t>
        </is>
      </c>
      <c r="D35" s="15" t="inlineStr">
        <is>
          <t>ID</t>
        </is>
      </c>
      <c r="E35" s="15" t="inlineStr">
        <is>
          <t>bigint</t>
        </is>
      </c>
      <c r="F35" s="16" t="inlineStr">
        <is>
          <t>PK</t>
        </is>
      </c>
      <c r="G35" s="15" t="inlineStr"/>
      <c r="H35" s="16" t="inlineStr">
        <is>
          <t>Y</t>
        </is>
      </c>
      <c r="I35" s="15" t="inlineStr"/>
      <c r="J35" s="15" t="inlineStr"/>
      <c r="K35" s="15" t="inlineStr">
        <is>
          <t>RG-04 · RG-05 · R-4 · R-10</t>
        </is>
      </c>
      <c r="L35" s="16" t="inlineStr">
        <is>
          <t>기존</t>
        </is>
      </c>
      <c r="M35" s="16" t="inlineStr">
        <is>
          <t>v0.1</t>
        </is>
      </c>
      <c r="N35" s="15" t="inlineStr"/>
    </row>
    <row r="36">
      <c r="A36" s="19" t="inlineStr">
        <is>
          <t>guides</t>
        </is>
      </c>
      <c r="B36" s="15" t="inlineStr">
        <is>
          <t>복약 · 생활습관 안내문</t>
        </is>
      </c>
      <c r="C36" s="15" t="inlineStr">
        <is>
          <t>analysis_id</t>
        </is>
      </c>
      <c r="D36" s="15" t="inlineStr">
        <is>
          <t>분석 ID</t>
        </is>
      </c>
      <c r="E36" s="15" t="inlineStr">
        <is>
          <t>bigint</t>
        </is>
      </c>
      <c r="F36" s="16" t="inlineStr">
        <is>
          <t>FK</t>
        </is>
      </c>
      <c r="G36" s="15" t="inlineStr">
        <is>
          <t>analyses.id</t>
        </is>
      </c>
      <c r="H36" s="16" t="inlineStr">
        <is>
          <t>Y</t>
        </is>
      </c>
      <c r="I36" s="15" t="inlineStr"/>
      <c r="J36" s="15" t="inlineStr"/>
      <c r="K36" s="15" t="inlineStr">
        <is>
          <t>RG-04 · RG-05 · R-4 · R-10</t>
        </is>
      </c>
      <c r="L36" s="16" t="inlineStr">
        <is>
          <t>기존</t>
        </is>
      </c>
      <c r="M36" s="16" t="inlineStr">
        <is>
          <t>v0.1</t>
        </is>
      </c>
      <c r="N36" s="15" t="inlineStr"/>
    </row>
    <row r="37">
      <c r="A37" s="20" t="inlineStr">
        <is>
          <t>guides</t>
        </is>
      </c>
      <c r="B37" s="21" t="inlineStr">
        <is>
          <t>복약 · 생활습관 안내문</t>
        </is>
      </c>
      <c r="C37" s="21" t="inlineStr">
        <is>
          <t>section</t>
        </is>
      </c>
      <c r="D37" s="21" t="inlineStr">
        <is>
          <t>안내 구분</t>
        </is>
      </c>
      <c r="E37" s="21" t="inlineStr">
        <is>
          <t>varchar(30)</t>
        </is>
      </c>
      <c r="F37" s="22" t="inlineStr"/>
      <c r="G37" s="21" t="inlineStr"/>
      <c r="H37" s="22" t="inlineStr">
        <is>
          <t>N</t>
        </is>
      </c>
      <c r="I37" s="21" t="inlineStr"/>
      <c r="J37" s="21" t="inlineStr">
        <is>
          <t>medication / lifestyle</t>
        </is>
      </c>
      <c r="K37" s="21" t="inlineStr">
        <is>
          <t>RG-04 · RG-05 · R-4 · R-10</t>
        </is>
      </c>
      <c r="L37" s="22" t="inlineStr">
        <is>
          <t>수정</t>
        </is>
      </c>
      <c r="M37" s="22" t="inlineStr">
        <is>
          <t>v1.0</t>
        </is>
      </c>
      <c r="N37" s="21" t="inlineStr"/>
    </row>
    <row r="38">
      <c r="A38" s="23" t="inlineStr">
        <is>
          <t>guides</t>
        </is>
      </c>
      <c r="B38" s="24" t="inlineStr">
        <is>
          <t>복약 · 생활습관 안내문</t>
        </is>
      </c>
      <c r="C38" s="24" t="inlineStr">
        <is>
          <t>status</t>
        </is>
      </c>
      <c r="D38" s="24" t="inlineStr">
        <is>
          <t>상태</t>
        </is>
      </c>
      <c r="E38" s="24" t="inlineStr">
        <is>
          <t>varchar(20)</t>
        </is>
      </c>
      <c r="F38" s="25" t="inlineStr"/>
      <c r="G38" s="24" t="inlineStr"/>
      <c r="H38" s="25" t="inlineStr">
        <is>
          <t>N</t>
        </is>
      </c>
      <c r="I38" s="24" t="inlineStr"/>
      <c r="J38" s="24" t="inlineStr">
        <is>
          <t>done / failed (부분 결과 RG-01-E1 → RG-04 · RG-05 "만들지 못했어요")</t>
        </is>
      </c>
      <c r="K38" s="24" t="inlineStr">
        <is>
          <t>RG-04 · RG-05 · R-4 · R-10</t>
        </is>
      </c>
      <c r="L38" s="25" t="inlineStr">
        <is>
          <t>신규</t>
        </is>
      </c>
      <c r="M38" s="25" t="inlineStr">
        <is>
          <t>v1.0</t>
        </is>
      </c>
      <c r="N38" s="24" t="inlineStr"/>
    </row>
    <row r="39">
      <c r="A39" s="20" t="inlineStr">
        <is>
          <t>guides</t>
        </is>
      </c>
      <c r="B39" s="21" t="inlineStr">
        <is>
          <t>복약 · 생활습관 안내문</t>
        </is>
      </c>
      <c r="C39" s="21" t="inlineStr">
        <is>
          <t>content</t>
        </is>
      </c>
      <c r="D39" s="21" t="inlineStr">
        <is>
          <t>안내 내용 (JSON)</t>
        </is>
      </c>
      <c r="E39" s="21" t="inlineStr">
        <is>
          <t>jsonb</t>
        </is>
      </c>
      <c r="F39" s="22" t="inlineStr"/>
      <c r="G39" s="21" t="inlineStr"/>
      <c r="H39" s="22" t="inlineStr">
        <is>
          <t>N</t>
        </is>
      </c>
      <c r="I39" s="21" t="inlineStr"/>
      <c r="J39" s="21" t="inlineStr">
        <is>
          <t>항목 고정 JSON (약별 purpose · howToTake · caution · source) — 결과 일관성 NFR-030</t>
        </is>
      </c>
      <c r="K39" s="21" t="inlineStr">
        <is>
          <t>RG-04 · RG-05 · R-4 · R-10</t>
        </is>
      </c>
      <c r="L39" s="22" t="inlineStr">
        <is>
          <t>수정</t>
        </is>
      </c>
      <c r="M39" s="22" t="inlineStr">
        <is>
          <t>v1.0</t>
        </is>
      </c>
      <c r="N39" s="21" t="inlineStr"/>
    </row>
    <row r="40">
      <c r="A40" s="20" t="inlineStr">
        <is>
          <t>guides</t>
        </is>
      </c>
      <c r="B40" s="21" t="inlineStr">
        <is>
          <t>복약 · 생활습관 안내문</t>
        </is>
      </c>
      <c r="C40" s="21" t="inlineStr">
        <is>
          <t>prompt_ver</t>
        </is>
      </c>
      <c r="D40" s="21" t="inlineStr">
        <is>
          <t>프롬프트 버전</t>
        </is>
      </c>
      <c r="E40" s="21" t="inlineStr">
        <is>
          <t>varchar(20)</t>
        </is>
      </c>
      <c r="F40" s="22" t="inlineStr"/>
      <c r="G40" s="21" t="inlineStr"/>
      <c r="H40" s="22" t="inlineStr">
        <is>
          <t>N</t>
        </is>
      </c>
      <c r="I40" s="21" t="inlineStr"/>
      <c r="J40" s="21" t="inlineStr"/>
      <c r="K40" s="21" t="inlineStr">
        <is>
          <t>RG-04 · RG-05 · R-4 · R-10</t>
        </is>
      </c>
      <c r="L40" s="22" t="inlineStr">
        <is>
          <t>수정</t>
        </is>
      </c>
      <c r="M40" s="22" t="inlineStr">
        <is>
          <t>v1.0</t>
        </is>
      </c>
      <c r="N40" s="21" t="inlineStr"/>
    </row>
    <row r="41">
      <c r="A41" s="20" t="inlineStr">
        <is>
          <t>guides</t>
        </is>
      </c>
      <c r="B41" s="21" t="inlineStr">
        <is>
          <t>복약 · 생활습관 안내문</t>
        </is>
      </c>
      <c r="C41" s="21" t="inlineStr">
        <is>
          <t>model_name</t>
        </is>
      </c>
      <c r="D41" s="21" t="inlineStr">
        <is>
          <t>모델 이름</t>
        </is>
      </c>
      <c r="E41" s="21" t="inlineStr">
        <is>
          <t>varchar(50)</t>
        </is>
      </c>
      <c r="F41" s="22" t="inlineStr"/>
      <c r="G41" s="21" t="inlineStr"/>
      <c r="H41" s="22" t="inlineStr">
        <is>
          <t>N</t>
        </is>
      </c>
      <c r="I41" s="21" t="inlineStr"/>
      <c r="J41" s="21" t="inlineStr"/>
      <c r="K41" s="21" t="inlineStr">
        <is>
          <t>RG-04 · RG-05 · R-4 · R-10</t>
        </is>
      </c>
      <c r="L41" s="22" t="inlineStr">
        <is>
          <t>수정</t>
        </is>
      </c>
      <c r="M41" s="22" t="inlineStr">
        <is>
          <t>v1.0</t>
        </is>
      </c>
      <c r="N41" s="21" t="inlineStr"/>
    </row>
    <row r="42">
      <c r="A42" s="20" t="inlineStr">
        <is>
          <t>guides</t>
        </is>
      </c>
      <c r="B42" s="21" t="inlineStr">
        <is>
          <t>복약 · 생활습관 안내문</t>
        </is>
      </c>
      <c r="C42" s="21" t="inlineStr">
        <is>
          <t>tts_url</t>
        </is>
      </c>
      <c r="D42" s="21" t="inlineStr">
        <is>
          <t>음성 파일 주소</t>
        </is>
      </c>
      <c r="E42" s="21" t="inlineStr">
        <is>
          <t>varchar(500)</t>
        </is>
      </c>
      <c r="F42" s="22" t="inlineStr"/>
      <c r="G42" s="21" t="inlineStr"/>
      <c r="H42" s="22" t="inlineStr">
        <is>
          <t>N</t>
        </is>
      </c>
      <c r="I42" s="21" t="inlineStr"/>
      <c r="J42" s="21" t="inlineStr">
        <is>
          <t>선택 구현 (REQ-100)</t>
        </is>
      </c>
      <c r="K42" s="21" t="inlineStr">
        <is>
          <t>RG-04 · RG-05 · R-4 · R-10</t>
        </is>
      </c>
      <c r="L42" s="22" t="inlineStr">
        <is>
          <t>수정</t>
        </is>
      </c>
      <c r="M42" s="22" t="inlineStr">
        <is>
          <t>v1.0</t>
        </is>
      </c>
      <c r="N42" s="21" t="inlineStr"/>
    </row>
    <row r="43">
      <c r="A43" s="19" t="inlineStr">
        <is>
          <t>guides</t>
        </is>
      </c>
      <c r="B43" s="15" t="inlineStr">
        <is>
          <t>복약 · 생활습관 안내문</t>
        </is>
      </c>
      <c r="C43" s="15" t="inlineStr">
        <is>
          <t>created_at</t>
        </is>
      </c>
      <c r="D43" s="15" t="inlineStr">
        <is>
          <t>생성 일시</t>
        </is>
      </c>
      <c r="E43" s="15" t="inlineStr">
        <is>
          <t>timestamp</t>
        </is>
      </c>
      <c r="F43" s="16" t="inlineStr"/>
      <c r="G43" s="15" t="inlineStr"/>
      <c r="H43" s="16" t="inlineStr">
        <is>
          <t>N</t>
        </is>
      </c>
      <c r="I43" s="15" t="inlineStr">
        <is>
          <t>now()</t>
        </is>
      </c>
      <c r="J43" s="15" t="inlineStr"/>
      <c r="K43" s="15" t="inlineStr">
        <is>
          <t>RG-04 · RG-05 · R-4 · R-10</t>
        </is>
      </c>
      <c r="L43" s="16" t="inlineStr">
        <is>
          <t>기존</t>
        </is>
      </c>
      <c r="M43" s="16" t="inlineStr">
        <is>
          <t>v0.1</t>
        </is>
      </c>
      <c r="N43" s="15" t="inlineStr"/>
    </row>
    <row r="44">
      <c r="A44" s="19" t="inlineStr">
        <is>
          <t>feedbacks</t>
        </is>
      </c>
      <c r="B44" s="15" t="inlineStr">
        <is>
          <t>안내문 피드백</t>
        </is>
      </c>
      <c r="C44" s="15" t="inlineStr">
        <is>
          <t>id</t>
        </is>
      </c>
      <c r="D44" s="15" t="inlineStr">
        <is>
          <t>ID</t>
        </is>
      </c>
      <c r="E44" s="15" t="inlineStr">
        <is>
          <t>bigint</t>
        </is>
      </c>
      <c r="F44" s="16" t="inlineStr">
        <is>
          <t>PK</t>
        </is>
      </c>
      <c r="G44" s="15" t="inlineStr"/>
      <c r="H44" s="16" t="inlineStr">
        <is>
          <t>Y</t>
        </is>
      </c>
      <c r="I44" s="15" t="inlineStr"/>
      <c r="J44" s="15" t="inlineStr"/>
      <c r="K44" s="15" t="inlineStr">
        <is>
          <t>RG-04 · R-9</t>
        </is>
      </c>
      <c r="L44" s="16" t="inlineStr">
        <is>
          <t>기존</t>
        </is>
      </c>
      <c r="M44" s="16" t="inlineStr">
        <is>
          <t>v0.1</t>
        </is>
      </c>
      <c r="N44" s="15" t="inlineStr"/>
    </row>
    <row r="45">
      <c r="A45" s="19" t="inlineStr">
        <is>
          <t>feedbacks</t>
        </is>
      </c>
      <c r="B45" s="15" t="inlineStr">
        <is>
          <t>안내문 피드백</t>
        </is>
      </c>
      <c r="C45" s="15" t="inlineStr">
        <is>
          <t>guide_id</t>
        </is>
      </c>
      <c r="D45" s="15" t="inlineStr">
        <is>
          <t>안내문 ID</t>
        </is>
      </c>
      <c r="E45" s="15" t="inlineStr">
        <is>
          <t>bigint</t>
        </is>
      </c>
      <c r="F45" s="16" t="inlineStr">
        <is>
          <t>FK</t>
        </is>
      </c>
      <c r="G45" s="15" t="inlineStr">
        <is>
          <t>guides.id</t>
        </is>
      </c>
      <c r="H45" s="16" t="inlineStr">
        <is>
          <t>Y</t>
        </is>
      </c>
      <c r="I45" s="15" t="inlineStr"/>
      <c r="J45" s="15" t="inlineStr"/>
      <c r="K45" s="15" t="inlineStr">
        <is>
          <t>RG-04 · R-9</t>
        </is>
      </c>
      <c r="L45" s="16" t="inlineStr">
        <is>
          <t>기존</t>
        </is>
      </c>
      <c r="M45" s="16" t="inlineStr">
        <is>
          <t>v0.1</t>
        </is>
      </c>
      <c r="N45" s="15" t="inlineStr"/>
    </row>
    <row r="46">
      <c r="A46" s="19" t="inlineStr">
        <is>
          <t>feedbacks</t>
        </is>
      </c>
      <c r="B46" s="15" t="inlineStr">
        <is>
          <t>안내문 피드백</t>
        </is>
      </c>
      <c r="C46" s="15" t="inlineStr">
        <is>
          <t>user_id</t>
        </is>
      </c>
      <c r="D46" s="15" t="inlineStr">
        <is>
          <t>사용자 ID</t>
        </is>
      </c>
      <c r="E46" s="15" t="inlineStr">
        <is>
          <t>bigint</t>
        </is>
      </c>
      <c r="F46" s="16" t="inlineStr">
        <is>
          <t>FK</t>
        </is>
      </c>
      <c r="G46" s="15" t="inlineStr">
        <is>
          <t>users.id</t>
        </is>
      </c>
      <c r="H46" s="16" t="inlineStr">
        <is>
          <t>Y</t>
        </is>
      </c>
      <c r="I46" s="15" t="inlineStr"/>
      <c r="J46" s="15" t="inlineStr"/>
      <c r="K46" s="15" t="inlineStr">
        <is>
          <t>RG-04 · R-9</t>
        </is>
      </c>
      <c r="L46" s="16" t="inlineStr">
        <is>
          <t>기존</t>
        </is>
      </c>
      <c r="M46" s="16" t="inlineStr">
        <is>
          <t>v0.1</t>
        </is>
      </c>
      <c r="N46" s="15" t="inlineStr"/>
    </row>
    <row r="47">
      <c r="A47" s="20" t="inlineStr">
        <is>
          <t>feedbacks</t>
        </is>
      </c>
      <c r="B47" s="21" t="inlineStr">
        <is>
          <t>안내문 피드백</t>
        </is>
      </c>
      <c r="C47" s="21" t="inlineStr">
        <is>
          <t>rating</t>
        </is>
      </c>
      <c r="D47" s="21" t="inlineStr">
        <is>
          <t>평가</t>
        </is>
      </c>
      <c r="E47" s="21" t="inlineStr">
        <is>
          <t>smallint</t>
        </is>
      </c>
      <c r="F47" s="22" t="inlineStr"/>
      <c r="G47" s="21" t="inlineStr"/>
      <c r="H47" s="22" t="inlineStr">
        <is>
          <t>N</t>
        </is>
      </c>
      <c r="I47" s="21" t="inlineStr"/>
      <c r="J47" s="21" t="inlineStr">
        <is>
          <t>1 = 도움됐어요 / -1 = 도움 안 됐어요</t>
        </is>
      </c>
      <c r="K47" s="21" t="inlineStr">
        <is>
          <t>RG-04 · R-9</t>
        </is>
      </c>
      <c r="L47" s="22" t="inlineStr">
        <is>
          <t>수정</t>
        </is>
      </c>
      <c r="M47" s="22" t="inlineStr">
        <is>
          <t>v1.0</t>
        </is>
      </c>
      <c r="N47" s="21" t="inlineStr"/>
    </row>
    <row r="48">
      <c r="A48" s="19" t="inlineStr">
        <is>
          <t>feedbacks</t>
        </is>
      </c>
      <c r="B48" s="15" t="inlineStr">
        <is>
          <t>안내문 피드백</t>
        </is>
      </c>
      <c r="C48" s="15" t="inlineStr">
        <is>
          <t>comment</t>
        </is>
      </c>
      <c r="D48" s="15" t="inlineStr">
        <is>
          <t>의견</t>
        </is>
      </c>
      <c r="E48" s="15" t="inlineStr">
        <is>
          <t>text</t>
        </is>
      </c>
      <c r="F48" s="16" t="inlineStr"/>
      <c r="G48" s="15" t="inlineStr"/>
      <c r="H48" s="16" t="inlineStr">
        <is>
          <t>N</t>
        </is>
      </c>
      <c r="I48" s="15" t="inlineStr"/>
      <c r="J48" s="15" t="inlineStr"/>
      <c r="K48" s="15" t="inlineStr">
        <is>
          <t>RG-04 · R-9</t>
        </is>
      </c>
      <c r="L48" s="16" t="inlineStr">
        <is>
          <t>기존</t>
        </is>
      </c>
      <c r="M48" s="16" t="inlineStr">
        <is>
          <t>v0.1</t>
        </is>
      </c>
      <c r="N48" s="15" t="inlineStr"/>
    </row>
    <row r="49">
      <c r="A49" s="19" t="inlineStr">
        <is>
          <t>feedbacks</t>
        </is>
      </c>
      <c r="B49" s="15" t="inlineStr">
        <is>
          <t>안내문 피드백</t>
        </is>
      </c>
      <c r="C49" s="15" t="inlineStr">
        <is>
          <t>created_at</t>
        </is>
      </c>
      <c r="D49" s="15" t="inlineStr">
        <is>
          <t>생성 일시</t>
        </is>
      </c>
      <c r="E49" s="15" t="inlineStr">
        <is>
          <t>timestamp</t>
        </is>
      </c>
      <c r="F49" s="16" t="inlineStr"/>
      <c r="G49" s="15" t="inlineStr"/>
      <c r="H49" s="16" t="inlineStr">
        <is>
          <t>N</t>
        </is>
      </c>
      <c r="I49" s="15" t="inlineStr">
        <is>
          <t>now()</t>
        </is>
      </c>
      <c r="J49" s="15" t="inlineStr"/>
      <c r="K49" s="15" t="inlineStr">
        <is>
          <t>RG-04 · R-9</t>
        </is>
      </c>
      <c r="L49" s="16" t="inlineStr">
        <is>
          <t>기존</t>
        </is>
      </c>
      <c r="M49" s="16" t="inlineStr">
        <is>
          <t>v0.1</t>
        </is>
      </c>
      <c r="N49" s="15" t="inlineStr"/>
    </row>
    <row r="50">
      <c r="A50" s="19" t="inlineStr">
        <is>
          <t>drug_guides</t>
        </is>
      </c>
      <c r="B50" s="15" t="inlineStr">
        <is>
          <t>약 안내문 (사전 저장)</t>
        </is>
      </c>
      <c r="C50" s="15" t="inlineStr">
        <is>
          <t>edi_code</t>
        </is>
      </c>
      <c r="D50" s="15" t="inlineStr">
        <is>
          <t>약 코드</t>
        </is>
      </c>
      <c r="E50" s="15" t="inlineStr">
        <is>
          <t>varchar(9)</t>
        </is>
      </c>
      <c r="F50" s="16" t="inlineStr">
        <is>
          <t>PK</t>
        </is>
      </c>
      <c r="G50" s="15" t="n"/>
      <c r="H50" s="16" t="inlineStr">
        <is>
          <t>Y</t>
        </is>
      </c>
      <c r="I50" s="15" t="n"/>
      <c r="J50" s="15" t="inlineStr">
        <is>
          <t>약제급여목록 제품코드(EDI). 약 1개 = 1행. 급여목록에 없는 약은 행이 없음</t>
        </is>
      </c>
      <c r="K50" s="15" t="inlineStr">
        <is>
          <t>RG-04 · R-4 · 챗봇 출처</t>
        </is>
      </c>
      <c r="L50" s="16" t="inlineStr">
        <is>
          <t>신규</t>
        </is>
      </c>
      <c r="M50" s="16" t="inlineStr">
        <is>
          <t>v1.3</t>
        </is>
      </c>
      <c r="N50" s="15" t="inlineStr">
        <is>
          <t>멘토링 4회차(10/13) · 10/14 팀 합의. 약 단위로 미리 만들어 두고 사람이 확인한 것만 분석에 씀. 약 1개 = 1행 (약효분류 표로 만든 안내문과 허가정보 문장이 같은 표에 들어감)</t>
        </is>
      </c>
    </row>
    <row r="51">
      <c r="A51" s="19" t="inlineStr">
        <is>
          <t>drug_guides</t>
        </is>
      </c>
      <c r="B51" s="15" t="inlineStr">
        <is>
          <t>약 안내문 (사전 저장)</t>
        </is>
      </c>
      <c r="C51" s="15" t="inlineStr">
        <is>
          <t>content</t>
        </is>
      </c>
      <c r="D51" s="15" t="inlineStr">
        <is>
          <t>안내 내용 (JSON)</t>
        </is>
      </c>
      <c r="E51" s="15" t="inlineStr">
        <is>
          <t>jsonb</t>
        </is>
      </c>
      <c r="F51" s="16" t="n"/>
      <c r="G51" s="15" t="n"/>
      <c r="H51" s="16" t="inlineStr">
        <is>
          <t>Y</t>
        </is>
      </c>
      <c r="I51" s="15" t="n"/>
      <c r="J51" s="15" t="inlineStr">
        <is>
          <t>category · purpose · caution(문장을 줄바꿈으로 이은 문자열) · cautions(문장 배열) · source. 먹는 법은 처방마다 달라 여기 두지 않음</t>
        </is>
      </c>
      <c r="K51" s="15" t="inlineStr">
        <is>
          <t>RG-04 · R-4 · 챗봇 출처</t>
        </is>
      </c>
      <c r="L51" s="16" t="inlineStr">
        <is>
          <t>신규</t>
        </is>
      </c>
      <c r="M51" s="16" t="inlineStr">
        <is>
          <t>v1.3</t>
        </is>
      </c>
      <c r="N51" s="15" t="n"/>
    </row>
    <row r="52">
      <c r="A52" s="19" t="inlineStr">
        <is>
          <t>drug_guides</t>
        </is>
      </c>
      <c r="B52" s="15" t="inlineStr">
        <is>
          <t>약 안내문 (사전 저장)</t>
        </is>
      </c>
      <c r="C52" s="15" t="inlineStr">
        <is>
          <t>evidence_ids</t>
        </is>
      </c>
      <c r="D52" s="15" t="inlineStr">
        <is>
          <t>근거 목록</t>
        </is>
      </c>
      <c r="E52" s="15" t="inlineStr">
        <is>
          <t>jsonb</t>
        </is>
      </c>
      <c r="F52" s="16" t="n"/>
      <c r="G52" s="15" t="n"/>
      <c r="H52" s="16" t="inlineStr">
        <is>
          <t>N</t>
        </is>
      </c>
      <c r="I52" s="15" t="n"/>
      <c r="J52" s="15" t="inlineStr">
        <is>
          <t>[{kind: hira_class | drug_details, key, label, field(문장 번호), use(purpose · caution1~3), text(원문 문장)}] — 챗봇이 출처를 붙일 때 그대로 씀</t>
        </is>
      </c>
      <c r="K52" s="15" t="inlineStr">
        <is>
          <t>RG-04 · R-4 · 챗봇 출처</t>
        </is>
      </c>
      <c r="L52" s="16" t="inlineStr">
        <is>
          <t>신규</t>
        </is>
      </c>
      <c r="M52" s="16" t="inlineStr">
        <is>
          <t>v1.3</t>
        </is>
      </c>
      <c r="N52" s="15" t="n"/>
    </row>
    <row r="53">
      <c r="A53" s="19" t="inlineStr">
        <is>
          <t>drug_guides</t>
        </is>
      </c>
      <c r="B53" s="15" t="inlineStr">
        <is>
          <t>약 안내문 (사전 저장)</t>
        </is>
      </c>
      <c r="C53" s="15" t="inlineStr">
        <is>
          <t>prompt_ver</t>
        </is>
      </c>
      <c r="D53" s="15" t="inlineStr">
        <is>
          <t>프롬프트 버전</t>
        </is>
      </c>
      <c r="E53" s="15" t="inlineStr">
        <is>
          <t>varchar(20)</t>
        </is>
      </c>
      <c r="F53" s="16" t="n"/>
      <c r="G53" s="15" t="n"/>
      <c r="H53" s="16" t="inlineStr">
        <is>
          <t>N</t>
        </is>
      </c>
      <c r="I53" s="15" t="n"/>
      <c r="J53" s="15" t="inlineStr">
        <is>
          <t>규칙 표로 만든 것은 rule-v1, AI 문장은 med-v8</t>
        </is>
      </c>
      <c r="K53" s="15" t="inlineStr">
        <is>
          <t>RG-04 · R-4 · 챗봇 출처</t>
        </is>
      </c>
      <c r="L53" s="16" t="inlineStr">
        <is>
          <t>신규</t>
        </is>
      </c>
      <c r="M53" s="16" t="inlineStr">
        <is>
          <t>v1.3</t>
        </is>
      </c>
      <c r="N53" s="15" t="n"/>
    </row>
    <row r="54">
      <c r="A54" s="19" t="inlineStr">
        <is>
          <t>drug_guides</t>
        </is>
      </c>
      <c r="B54" s="15" t="inlineStr">
        <is>
          <t>약 안내문 (사전 저장)</t>
        </is>
      </c>
      <c r="C54" s="15" t="inlineStr">
        <is>
          <t>model_name</t>
        </is>
      </c>
      <c r="D54" s="15" t="inlineStr">
        <is>
          <t>모델 이름</t>
        </is>
      </c>
      <c r="E54" s="15" t="inlineStr">
        <is>
          <t>varchar(50)</t>
        </is>
      </c>
      <c r="F54" s="16" t="n"/>
      <c r="G54" s="15" t="n"/>
      <c r="H54" s="16" t="inlineStr">
        <is>
          <t>N</t>
        </is>
      </c>
      <c r="I54" s="15" t="n"/>
      <c r="J54" s="15" t="inlineStr">
        <is>
          <t>AI 없이 규칙 표로 만든 안내문은 null. 값이 있으면 허가정보 문장(AI가 쓰고 규칙으로 걸러 냄)</t>
        </is>
      </c>
      <c r="K54" s="15" t="inlineStr">
        <is>
          <t>RG-04 · R-4 · 챗봇 출처</t>
        </is>
      </c>
      <c r="L54" s="16" t="inlineStr">
        <is>
          <t>신규</t>
        </is>
      </c>
      <c r="M54" s="16" t="inlineStr">
        <is>
          <t>v1.3</t>
        </is>
      </c>
      <c r="N54" s="15" t="n"/>
    </row>
    <row r="55">
      <c r="A55" s="19" t="inlineStr">
        <is>
          <t>drug_guides</t>
        </is>
      </c>
      <c r="B55" s="15" t="inlineStr">
        <is>
          <t>약 안내문 (사전 저장)</t>
        </is>
      </c>
      <c r="C55" s="15" t="inlineStr">
        <is>
          <t>review_status</t>
        </is>
      </c>
      <c r="D55" s="15" t="inlineStr">
        <is>
          <t>확인 상태</t>
        </is>
      </c>
      <c r="E55" s="15" t="inlineStr">
        <is>
          <t>varchar(20)</t>
        </is>
      </c>
      <c r="F55" s="16" t="n"/>
      <c r="G55" s="15" t="n"/>
      <c r="H55" s="16" t="inlineStr">
        <is>
          <t>Y</t>
        </is>
      </c>
      <c r="I55" s="15" t="inlineStr">
        <is>
          <t>draft</t>
        </is>
      </c>
      <c r="J55" s="15" t="inlineStr">
        <is>
          <t>draft / approved / rejected — 분석 때는 approved만 보여 줌 (멘토링 4회차 · 사람 확인 필수)</t>
        </is>
      </c>
      <c r="K55" s="15" t="inlineStr">
        <is>
          <t>RG-04 · R-4 · 챗봇 출처</t>
        </is>
      </c>
      <c r="L55" s="16" t="inlineStr">
        <is>
          <t>신규</t>
        </is>
      </c>
      <c r="M55" s="16" t="inlineStr">
        <is>
          <t>v1.3</t>
        </is>
      </c>
      <c r="N55" s="15" t="n"/>
    </row>
    <row r="56">
      <c r="A56" s="19" t="inlineStr">
        <is>
          <t>drug_guides</t>
        </is>
      </c>
      <c r="B56" s="15" t="inlineStr">
        <is>
          <t>약 안내문 (사전 저장)</t>
        </is>
      </c>
      <c r="C56" s="15" t="inlineStr">
        <is>
          <t>reviewed_by</t>
        </is>
      </c>
      <c r="D56" s="15" t="inlineStr">
        <is>
          <t>확인한 사람</t>
        </is>
      </c>
      <c r="E56" s="15" t="inlineStr">
        <is>
          <t>varchar(50)</t>
        </is>
      </c>
      <c r="F56" s="16" t="n"/>
      <c r="G56" s="15" t="n"/>
      <c r="H56" s="16" t="inlineStr">
        <is>
          <t>N</t>
        </is>
      </c>
      <c r="I56" s="15" t="n"/>
      <c r="J56" s="15" t="n"/>
      <c r="K56" s="15" t="inlineStr">
        <is>
          <t>RG-04 · R-4 · 챗봇 출처</t>
        </is>
      </c>
      <c r="L56" s="16" t="inlineStr">
        <is>
          <t>신규</t>
        </is>
      </c>
      <c r="M56" s="16" t="inlineStr">
        <is>
          <t>v1.3</t>
        </is>
      </c>
      <c r="N56" s="15" t="n"/>
    </row>
    <row r="57">
      <c r="A57" s="19" t="inlineStr">
        <is>
          <t>drug_guides</t>
        </is>
      </c>
      <c r="B57" s="15" t="inlineStr">
        <is>
          <t>약 안내문 (사전 저장)</t>
        </is>
      </c>
      <c r="C57" s="15" t="inlineStr">
        <is>
          <t>reviewed_at</t>
        </is>
      </c>
      <c r="D57" s="15" t="inlineStr">
        <is>
          <t>확인 일시</t>
        </is>
      </c>
      <c r="E57" s="15" t="inlineStr">
        <is>
          <t>timestamp</t>
        </is>
      </c>
      <c r="F57" s="16" t="n"/>
      <c r="G57" s="15" t="n"/>
      <c r="H57" s="16" t="inlineStr">
        <is>
          <t>N</t>
        </is>
      </c>
      <c r="I57" s="15" t="n"/>
      <c r="J57" s="15" t="n"/>
      <c r="K57" s="15" t="inlineStr">
        <is>
          <t>RG-04 · R-4 · 챗봇 출처</t>
        </is>
      </c>
      <c r="L57" s="16" t="inlineStr">
        <is>
          <t>신규</t>
        </is>
      </c>
      <c r="M57" s="16" t="inlineStr">
        <is>
          <t>v1.3</t>
        </is>
      </c>
      <c r="N57" s="15" t="n"/>
    </row>
    <row r="58">
      <c r="A58" s="19" t="inlineStr">
        <is>
          <t>drug_guides</t>
        </is>
      </c>
      <c r="B58" s="15" t="inlineStr">
        <is>
          <t>약 안내문 (사전 저장)</t>
        </is>
      </c>
      <c r="C58" s="15" t="inlineStr">
        <is>
          <t>created_at</t>
        </is>
      </c>
      <c r="D58" s="15" t="inlineStr">
        <is>
          <t>생성 일시</t>
        </is>
      </c>
      <c r="E58" s="15" t="inlineStr">
        <is>
          <t>timestamp</t>
        </is>
      </c>
      <c r="F58" s="16" t="n"/>
      <c r="G58" s="15" t="n"/>
      <c r="H58" s="16" t="inlineStr">
        <is>
          <t>N</t>
        </is>
      </c>
      <c r="I58" s="15" t="inlineStr">
        <is>
          <t>now()</t>
        </is>
      </c>
      <c r="J58" s="15" t="n"/>
      <c r="K58" s="15" t="inlineStr">
        <is>
          <t>RG-04 · R-4 · 챗봇 출처</t>
        </is>
      </c>
      <c r="L58" s="16" t="inlineStr">
        <is>
          <t>신규</t>
        </is>
      </c>
      <c r="M58" s="16" t="inlineStr">
        <is>
          <t>v1.3</t>
        </is>
      </c>
      <c r="N58" s="15" t="n"/>
    </row>
    <row r="59">
      <c r="A59" s="19" t="inlineStr">
        <is>
          <t>drug_guides</t>
        </is>
      </c>
      <c r="B59" s="15" t="inlineStr">
        <is>
          <t>약 안내문 (사전 저장)</t>
        </is>
      </c>
      <c r="C59" s="15" t="inlineStr">
        <is>
          <t>updated_at</t>
        </is>
      </c>
      <c r="D59" s="15" t="inlineStr">
        <is>
          <t>수정 일시</t>
        </is>
      </c>
      <c r="E59" s="15" t="inlineStr">
        <is>
          <t>timestamp</t>
        </is>
      </c>
      <c r="F59" s="16" t="n"/>
      <c r="G59" s="15" t="n"/>
      <c r="H59" s="16" t="inlineStr">
        <is>
          <t>N</t>
        </is>
      </c>
      <c r="I59" s="15" t="inlineStr">
        <is>
          <t>now()</t>
        </is>
      </c>
      <c r="J59" s="15" t="n"/>
      <c r="K59" s="15" t="inlineStr">
        <is>
          <t>RG-04 · R-4 · 챗봇 출처</t>
        </is>
      </c>
      <c r="L59" s="16" t="inlineStr">
        <is>
          <t>신규</t>
        </is>
      </c>
      <c r="M59" s="16" t="inlineStr">
        <is>
          <t>v1.3</t>
        </is>
      </c>
      <c r="N59" s="15" t="n"/>
    </row>
  </sheetData>
  <autoFilter ref="A4:N48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v1.3 · 챗봇</t>
        </is>
      </c>
    </row>
    <row r="2">
      <c r="A2" s="42" t="inlineStr">
        <is>
          <t>수인 · 대화 · 메시지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19" t="inlineStr">
        <is>
          <t>chat_sessions</t>
        </is>
      </c>
      <c r="B5" s="15" t="inlineStr">
        <is>
          <t>대화</t>
        </is>
      </c>
      <c r="C5" s="15" t="inlineStr">
        <is>
          <t>id</t>
        </is>
      </c>
      <c r="D5" s="15" t="inlineStr">
        <is>
          <t>ID</t>
        </is>
      </c>
      <c r="E5" s="15" t="inlineStr">
        <is>
          <t>bigint</t>
        </is>
      </c>
      <c r="F5" s="16" t="inlineStr">
        <is>
          <t>PK</t>
        </is>
      </c>
      <c r="G5" s="15" t="n"/>
      <c r="H5" s="16" t="inlineStr">
        <is>
          <t>Y</t>
        </is>
      </c>
      <c r="I5" s="15" t="n"/>
      <c r="J5" s="15" t="n"/>
      <c r="K5" s="15" t="inlineStr">
        <is>
          <t>CB-01~03 · H-1 · H-4 · H-5</t>
        </is>
      </c>
      <c r="L5" s="16" t="inlineStr">
        <is>
          <t>기존</t>
        </is>
      </c>
      <c r="M5" s="16" t="inlineStr">
        <is>
          <t>v1.3</t>
        </is>
      </c>
      <c r="N5" s="15" t="inlineStr">
        <is>
          <t>날짜별 여러 대화 구조 (PR #3 10/2 답변으로 확정). 1단계는 하루 한 대화로 쓰고, 분석 결과에서 들어오면 맥락 카드를 붙임 (H-7)</t>
        </is>
      </c>
    </row>
    <row r="6">
      <c r="A6" s="19" t="inlineStr">
        <is>
          <t>chat_sessions</t>
        </is>
      </c>
      <c r="B6" s="15" t="inlineStr">
        <is>
          <t>대화</t>
        </is>
      </c>
      <c r="C6" s="15" t="inlineStr">
        <is>
          <t>user_id</t>
        </is>
      </c>
      <c r="D6" s="15" t="inlineStr">
        <is>
          <t>사용자 ID</t>
        </is>
      </c>
      <c r="E6" s="15" t="inlineStr">
        <is>
          <t>bigint</t>
        </is>
      </c>
      <c r="F6" s="16" t="inlineStr">
        <is>
          <t>FK</t>
        </is>
      </c>
      <c r="G6" s="15" t="inlineStr">
        <is>
          <t>users.id</t>
        </is>
      </c>
      <c r="H6" s="16" t="inlineStr">
        <is>
          <t>Y</t>
        </is>
      </c>
      <c r="I6" s="15" t="n"/>
      <c r="J6" s="15" t="n"/>
      <c r="K6" s="15" t="inlineStr">
        <is>
          <t>CB-01~03 · H-1 · H-4 · H-5</t>
        </is>
      </c>
      <c r="L6" s="16" t="inlineStr">
        <is>
          <t>기존</t>
        </is>
      </c>
      <c r="M6" s="16" t="inlineStr">
        <is>
          <t>v0.1</t>
        </is>
      </c>
      <c r="N6" s="15" t="n"/>
    </row>
    <row r="7">
      <c r="A7" s="20" t="inlineStr">
        <is>
          <t>chat_sessions</t>
        </is>
      </c>
      <c r="B7" s="21" t="inlineStr">
        <is>
          <t>대화</t>
        </is>
      </c>
      <c r="C7" s="21" t="inlineStr">
        <is>
          <t>analysis_id</t>
        </is>
      </c>
      <c r="D7" s="21" t="inlineStr">
        <is>
          <t>분석 ID</t>
        </is>
      </c>
      <c r="E7" s="21" t="inlineStr">
        <is>
          <t>bigint</t>
        </is>
      </c>
      <c r="F7" s="22" t="inlineStr">
        <is>
          <t>FK</t>
        </is>
      </c>
      <c r="G7" s="21" t="inlineStr">
        <is>
          <t>analyses.id</t>
        </is>
      </c>
      <c r="H7" s="22" t="inlineStr">
        <is>
          <t>N</t>
        </is>
      </c>
      <c r="I7" s="21" t="n"/>
      <c r="J7" s="21" t="inlineStr">
        <is>
          <t>null이면 일반 질문 모드 (분석 전)</t>
        </is>
      </c>
      <c r="K7" s="21" t="inlineStr">
        <is>
          <t>CB-01~03 · H-1 · H-4 · H-5</t>
        </is>
      </c>
      <c r="L7" s="22" t="inlineStr">
        <is>
          <t>수정</t>
        </is>
      </c>
      <c r="M7" s="22" t="inlineStr">
        <is>
          <t>v1.0</t>
        </is>
      </c>
      <c r="N7" s="21" t="n"/>
    </row>
    <row r="8">
      <c r="A8" s="23" t="inlineStr">
        <is>
          <t>chat_sessions</t>
        </is>
      </c>
      <c r="B8" s="24" t="inlineStr">
        <is>
          <t>대화</t>
        </is>
      </c>
      <c r="C8" s="24" t="inlineStr">
        <is>
          <t>context_type</t>
        </is>
      </c>
      <c r="D8" s="24" t="inlineStr">
        <is>
          <t>시작 맥락 종류</t>
        </is>
      </c>
      <c r="E8" s="24" t="inlineStr">
        <is>
          <t>varchar(20)</t>
        </is>
      </c>
      <c r="F8" s="25" t="n"/>
      <c r="G8" s="24" t="n"/>
      <c r="H8" s="25" t="inlineStr">
        <is>
          <t>N</t>
        </is>
      </c>
      <c r="I8" s="24" t="n"/>
      <c r="J8" s="24" t="inlineStr">
        <is>
          <t>warning / drug (CB-01-E2에서 무엇을 알고 시작했는지)</t>
        </is>
      </c>
      <c r="K8" s="24" t="inlineStr">
        <is>
          <t>CB-01~03 · H-1 · H-4 · H-5</t>
        </is>
      </c>
      <c r="L8" s="25" t="inlineStr">
        <is>
          <t>신규</t>
        </is>
      </c>
      <c r="M8" s="25" t="inlineStr">
        <is>
          <t>v1.0</t>
        </is>
      </c>
      <c r="N8" s="24" t="n"/>
    </row>
    <row r="9">
      <c r="A9" s="23" t="inlineStr">
        <is>
          <t>chat_sessions</t>
        </is>
      </c>
      <c r="B9" s="24" t="inlineStr">
        <is>
          <t>대화</t>
        </is>
      </c>
      <c r="C9" s="24" t="inlineStr">
        <is>
          <t>context_ref</t>
        </is>
      </c>
      <c r="D9" s="24" t="inlineStr">
        <is>
          <t>시작 맥락 ID</t>
        </is>
      </c>
      <c r="E9" s="24" t="inlineStr">
        <is>
          <t>bigint</t>
        </is>
      </c>
      <c r="F9" s="25" t="n"/>
      <c r="G9" s="24" t="n"/>
      <c r="H9" s="25" t="inlineStr">
        <is>
          <t>N</t>
        </is>
      </c>
      <c r="I9" s="24" t="n"/>
      <c r="J9" s="24" t="inlineStr">
        <is>
          <t>analysis_warnings.id 또는 prescription_items.id</t>
        </is>
      </c>
      <c r="K9" s="24" t="inlineStr">
        <is>
          <t>CB-01~03 · H-1 · H-4 · H-5</t>
        </is>
      </c>
      <c r="L9" s="25" t="inlineStr">
        <is>
          <t>신규</t>
        </is>
      </c>
      <c r="M9" s="25" t="inlineStr">
        <is>
          <t>v1.0</t>
        </is>
      </c>
      <c r="N9" s="24" t="n"/>
    </row>
    <row r="10">
      <c r="A10" s="23" t="inlineStr">
        <is>
          <t>chat_sessions</t>
        </is>
      </c>
      <c r="B10" s="24" t="inlineStr">
        <is>
          <t>대화</t>
        </is>
      </c>
      <c r="C10" s="24" t="inlineStr">
        <is>
          <t>title</t>
        </is>
      </c>
      <c r="D10" s="24" t="inlineStr">
        <is>
          <t>대화 제목</t>
        </is>
      </c>
      <c r="E10" s="24" t="inlineStr">
        <is>
          <t>varchar(100)</t>
        </is>
      </c>
      <c r="F10" s="25" t="n"/>
      <c r="G10" s="24" t="n"/>
      <c r="H10" s="25" t="inlineStr">
        <is>
          <t>N</t>
        </is>
      </c>
      <c r="I10" s="24" t="n"/>
      <c r="J10" s="24" t="inlineStr">
        <is>
          <t>🟡 수인 확인 · 대화 제목 자동 생성 · 수정 (CB-03)</t>
        </is>
      </c>
      <c r="K10" s="24" t="inlineStr">
        <is>
          <t>CB-01~03 · H-1 · H-4 · H-5</t>
        </is>
      </c>
      <c r="L10" s="25" t="inlineStr">
        <is>
          <t>신규</t>
        </is>
      </c>
      <c r="M10" s="25" t="inlineStr">
        <is>
          <t>v1.0</t>
        </is>
      </c>
      <c r="N10" s="24" t="n"/>
    </row>
    <row r="11">
      <c r="A11" s="23" t="inlineStr">
        <is>
          <t>chat_sessions</t>
        </is>
      </c>
      <c r="B11" s="24" t="inlineStr">
        <is>
          <t>대화</t>
        </is>
      </c>
      <c r="C11" s="24" t="inlineStr">
        <is>
          <t>summary</t>
        </is>
      </c>
      <c r="D11" s="24" t="inlineStr">
        <is>
          <t>대화 요약</t>
        </is>
      </c>
      <c r="E11" s="24" t="inlineStr">
        <is>
          <t>text</t>
        </is>
      </c>
      <c r="F11" s="25" t="n"/>
      <c r="G11" s="24" t="n"/>
      <c r="H11" s="25" t="inlineStr">
        <is>
          <t>N</t>
        </is>
      </c>
      <c r="I11" s="24" t="n"/>
      <c r="J11" s="24" t="inlineStr">
        <is>
          <t>🟡 수인 확인 · 오래된 대화 요약 (맥락 압축)</t>
        </is>
      </c>
      <c r="K11" s="24" t="inlineStr">
        <is>
          <t>CB-01~03 · H-1 · H-4 · H-5</t>
        </is>
      </c>
      <c r="L11" s="25" t="inlineStr">
        <is>
          <t>신규</t>
        </is>
      </c>
      <c r="M11" s="25" t="inlineStr">
        <is>
          <t>v1.0</t>
        </is>
      </c>
      <c r="N11" s="24" t="n"/>
    </row>
    <row r="12">
      <c r="A12" s="19" t="inlineStr">
        <is>
          <t>chat_sessions</t>
        </is>
      </c>
      <c r="B12" s="15" t="inlineStr">
        <is>
          <t>대화</t>
        </is>
      </c>
      <c r="C12" s="15" t="inlineStr">
        <is>
          <t>created_at</t>
        </is>
      </c>
      <c r="D12" s="15" t="inlineStr">
        <is>
          <t>생성 일시</t>
        </is>
      </c>
      <c r="E12" s="15" t="inlineStr">
        <is>
          <t>timestamp</t>
        </is>
      </c>
      <c r="F12" s="16" t="n"/>
      <c r="G12" s="15" t="n"/>
      <c r="H12" s="16" t="inlineStr">
        <is>
          <t>N</t>
        </is>
      </c>
      <c r="I12" s="15" t="inlineStr">
        <is>
          <t>now()</t>
        </is>
      </c>
      <c r="J12" s="15" t="n"/>
      <c r="K12" s="15" t="inlineStr">
        <is>
          <t>CB-01~03 · H-1 · H-4 · H-5</t>
        </is>
      </c>
      <c r="L12" s="16" t="inlineStr">
        <is>
          <t>기존</t>
        </is>
      </c>
      <c r="M12" s="16" t="inlineStr">
        <is>
          <t>v0.1</t>
        </is>
      </c>
      <c r="N12" s="15" t="n"/>
    </row>
    <row r="13">
      <c r="A13" s="23" t="inlineStr">
        <is>
          <t>chat_sessions</t>
        </is>
      </c>
      <c r="B13" s="24" t="inlineStr">
        <is>
          <t>대화</t>
        </is>
      </c>
      <c r="C13" s="24" t="inlineStr">
        <is>
          <t>updated_at</t>
        </is>
      </c>
      <c r="D13" s="24" t="inlineStr">
        <is>
          <t>수정 일시</t>
        </is>
      </c>
      <c r="E13" s="24" t="inlineStr">
        <is>
          <t>timestamp</t>
        </is>
      </c>
      <c r="F13" s="25" t="n"/>
      <c r="G13" s="24" t="n"/>
      <c r="H13" s="25" t="inlineStr">
        <is>
          <t>N</t>
        </is>
      </c>
      <c r="I13" s="24" t="n"/>
      <c r="J13" s="24" t="n"/>
      <c r="K13" s="24" t="inlineStr">
        <is>
          <t>CB-01~03 · H-1 · H-4 · H-5</t>
        </is>
      </c>
      <c r="L13" s="25" t="inlineStr">
        <is>
          <t>신규</t>
        </is>
      </c>
      <c r="M13" s="25" t="inlineStr">
        <is>
          <t>v1.0</t>
        </is>
      </c>
      <c r="N13" s="24" t="n"/>
    </row>
    <row r="14">
      <c r="A14" s="23" t="inlineStr">
        <is>
          <t>chat_sessions</t>
        </is>
      </c>
      <c r="B14" s="24" t="inlineStr">
        <is>
          <t>대화</t>
        </is>
      </c>
      <c r="C14" s="24" t="inlineStr">
        <is>
          <t>client_request_id</t>
        </is>
      </c>
      <c r="D14" s="24" t="inlineStr">
        <is>
          <t>요청 번호</t>
        </is>
      </c>
      <c r="E14" s="24" t="inlineStr">
        <is>
          <t>varchar(64)</t>
        </is>
      </c>
      <c r="F14" s="25" t="n"/>
      <c r="G14" s="24" t="n"/>
      <c r="H14" s="25" t="inlineStr">
        <is>
          <t>N</t>
        </is>
      </c>
      <c r="I14" s="24" t="n"/>
      <c r="J14" s="24" t="inlineStr">
        <is>
          <t>앱이 만든 요청 번호 — H-1을 다시 보내도 대화를 새로 만들지 않음. (user_id, client_request_id) UQ</t>
        </is>
      </c>
      <c r="K14" s="24" t="inlineStr">
        <is>
          <t>CB-01~03 · H-1 · H-4 · H-5</t>
        </is>
      </c>
      <c r="L14" s="25" t="inlineStr">
        <is>
          <t>신규</t>
        </is>
      </c>
      <c r="M14" s="25" t="inlineStr">
        <is>
          <t>v1.3</t>
        </is>
      </c>
      <c r="N14" s="24" t="n"/>
    </row>
    <row r="15">
      <c r="A15" s="23" t="inlineStr">
        <is>
          <t>chat_sessions</t>
        </is>
      </c>
      <c r="B15" s="24" t="inlineStr">
        <is>
          <t>대화</t>
        </is>
      </c>
      <c r="C15" s="24" t="inlineStr">
        <is>
          <t>safety_mode_until</t>
        </is>
      </c>
      <c r="D15" s="24" t="inlineStr">
        <is>
          <t>안전 모드 종료 시각</t>
        </is>
      </c>
      <c r="E15" s="24" t="inlineStr">
        <is>
          <t>timestamp</t>
        </is>
      </c>
      <c r="F15" s="25" t="n"/>
      <c r="G15" s="24" t="n"/>
      <c r="H15" s="25" t="inlineStr">
        <is>
          <t>N</t>
        </is>
      </c>
      <c r="I15" s="24" t="n"/>
      <c r="J15" s="24" t="inlineStr">
        <is>
          <t>자해 표현 뒤 안전 모드가 끝나는 시각. null이면 안전 모드 아님 (이슈 #88)</t>
        </is>
      </c>
      <c r="K15" s="24" t="inlineStr">
        <is>
          <t>CB-01~03 / H-1</t>
        </is>
      </c>
      <c r="L15" s="25" t="inlineStr">
        <is>
          <t>신규</t>
        </is>
      </c>
      <c r="M15" s="25" t="inlineStr">
        <is>
          <t>v1.5</t>
        </is>
      </c>
      <c r="N15" s="24" t="n"/>
    </row>
    <row r="16">
      <c r="A16" s="19" t="inlineStr">
        <is>
          <t>chat_messages</t>
        </is>
      </c>
      <c r="B16" s="15" t="inlineStr">
        <is>
          <t>대화 메시지</t>
        </is>
      </c>
      <c r="C16" s="15" t="inlineStr">
        <is>
          <t>id</t>
        </is>
      </c>
      <c r="D16" s="15" t="inlineStr">
        <is>
          <t>ID</t>
        </is>
      </c>
      <c r="E16" s="15" t="inlineStr">
        <is>
          <t>bigint</t>
        </is>
      </c>
      <c r="F16" s="16" t="inlineStr">
        <is>
          <t>PK</t>
        </is>
      </c>
      <c r="G16" s="15" t="n"/>
      <c r="H16" s="16" t="inlineStr">
        <is>
          <t>Y</t>
        </is>
      </c>
      <c r="I16" s="15" t="n"/>
      <c r="J16" s="15" t="n"/>
      <c r="K16" s="15" t="inlineStr">
        <is>
          <t>CB-01 · H-2 · H-3</t>
        </is>
      </c>
      <c r="L16" s="16" t="inlineStr">
        <is>
          <t>기존</t>
        </is>
      </c>
      <c r="M16" s="16" t="inlineStr">
        <is>
          <t>v0.1</t>
        </is>
      </c>
      <c r="N16" s="15" t="n"/>
    </row>
    <row r="17">
      <c r="A17" s="19" t="inlineStr">
        <is>
          <t>chat_messages</t>
        </is>
      </c>
      <c r="B17" s="15" t="inlineStr">
        <is>
          <t>대화 메시지</t>
        </is>
      </c>
      <c r="C17" s="15" t="inlineStr">
        <is>
          <t>session_id</t>
        </is>
      </c>
      <c r="D17" s="15" t="inlineStr">
        <is>
          <t>대화 ID</t>
        </is>
      </c>
      <c r="E17" s="15" t="inlineStr">
        <is>
          <t>bigint</t>
        </is>
      </c>
      <c r="F17" s="16" t="inlineStr">
        <is>
          <t>FK</t>
        </is>
      </c>
      <c r="G17" s="15" t="inlineStr">
        <is>
          <t>chat_sessions.id</t>
        </is>
      </c>
      <c r="H17" s="16" t="inlineStr">
        <is>
          <t>Y</t>
        </is>
      </c>
      <c r="I17" s="15" t="n"/>
      <c r="J17" s="15" t="n"/>
      <c r="K17" s="15" t="inlineStr">
        <is>
          <t>CB-01 · H-2 · H-3</t>
        </is>
      </c>
      <c r="L17" s="16" t="inlineStr">
        <is>
          <t>기존</t>
        </is>
      </c>
      <c r="M17" s="16" t="inlineStr">
        <is>
          <t>v0.1</t>
        </is>
      </c>
      <c r="N17" s="15" t="n"/>
    </row>
    <row r="18">
      <c r="A18" s="19" t="inlineStr">
        <is>
          <t>chat_messages</t>
        </is>
      </c>
      <c r="B18" s="15" t="inlineStr">
        <is>
          <t>대화 메시지</t>
        </is>
      </c>
      <c r="C18" s="15" t="inlineStr">
        <is>
          <t>role</t>
        </is>
      </c>
      <c r="D18" s="15" t="inlineStr">
        <is>
          <t>발화자</t>
        </is>
      </c>
      <c r="E18" s="15" t="inlineStr">
        <is>
          <t>varchar(10)</t>
        </is>
      </c>
      <c r="F18" s="16" t="n"/>
      <c r="G18" s="15" t="n"/>
      <c r="H18" s="16" t="inlineStr">
        <is>
          <t>N</t>
        </is>
      </c>
      <c r="I18" s="15" t="n"/>
      <c r="J18" s="15" t="inlineStr">
        <is>
          <t>user / assistant</t>
        </is>
      </c>
      <c r="K18" s="15" t="inlineStr">
        <is>
          <t>CB-01 · H-2 · H-3</t>
        </is>
      </c>
      <c r="L18" s="16" t="inlineStr">
        <is>
          <t>기존</t>
        </is>
      </c>
      <c r="M18" s="16" t="inlineStr">
        <is>
          <t>v0.1</t>
        </is>
      </c>
      <c r="N18" s="15" t="n"/>
    </row>
    <row r="19">
      <c r="A19" s="19" t="inlineStr">
        <is>
          <t>chat_messages</t>
        </is>
      </c>
      <c r="B19" s="15" t="inlineStr">
        <is>
          <t>대화 메시지</t>
        </is>
      </c>
      <c r="C19" s="15" t="inlineStr">
        <is>
          <t>content</t>
        </is>
      </c>
      <c r="D19" s="15" t="inlineStr">
        <is>
          <t>메시지 내용</t>
        </is>
      </c>
      <c r="E19" s="15" t="inlineStr">
        <is>
          <t>text</t>
        </is>
      </c>
      <c r="F19" s="16" t="n"/>
      <c r="G19" s="15" t="n"/>
      <c r="H19" s="16" t="inlineStr">
        <is>
          <t>N</t>
        </is>
      </c>
      <c r="I19" s="15" t="n"/>
      <c r="J19" s="15" t="n"/>
      <c r="K19" s="15" t="inlineStr">
        <is>
          <t>CB-01 · H-2 · H-3</t>
        </is>
      </c>
      <c r="L19" s="16" t="inlineStr">
        <is>
          <t>기존</t>
        </is>
      </c>
      <c r="M19" s="16" t="inlineStr">
        <is>
          <t>v0.1</t>
        </is>
      </c>
      <c r="N19" s="15" t="n"/>
    </row>
    <row r="20">
      <c r="A20" s="23" t="inlineStr">
        <is>
          <t>chat_messages</t>
        </is>
      </c>
      <c r="B20" s="24" t="inlineStr">
        <is>
          <t>대화 메시지</t>
        </is>
      </c>
      <c r="C20" s="24" t="inlineStr">
        <is>
          <t>answer_type</t>
        </is>
      </c>
      <c r="D20" s="24" t="inlineStr">
        <is>
          <t>답변 종류</t>
        </is>
      </c>
      <c r="E20" s="24" t="inlineStr">
        <is>
          <t>varchar(20)</t>
        </is>
      </c>
      <c r="F20" s="25" t="n"/>
      <c r="G20" s="24" t="n"/>
      <c r="H20" s="25" t="inlineStr">
        <is>
          <t>N</t>
        </is>
      </c>
      <c r="I20" s="24" t="n"/>
      <c r="J20" s="24" t="inlineStr">
        <is>
          <t>normal / clarify(정보 확인) / partial(일부만 확인됐어요) / no_evidence(확인이 어렵습니다) / refer(의료진 상담 필요) / emergency(긴급 안내) / crisis(도움 연결) — error는 프론트 전용이라 저장 안 함 (API v1.3 H-3)</t>
        </is>
      </c>
      <c r="K20" s="24" t="inlineStr">
        <is>
          <t>CB-01 · H-2 · H-3</t>
        </is>
      </c>
      <c r="L20" s="25" t="inlineStr">
        <is>
          <t>신규</t>
        </is>
      </c>
      <c r="M20" s="25" t="inlineStr">
        <is>
          <t>v1.3</t>
        </is>
      </c>
      <c r="N20" s="24" t="n"/>
    </row>
    <row r="21">
      <c r="A21" s="23" t="inlineStr">
        <is>
          <t>chat_messages</t>
        </is>
      </c>
      <c r="B21" s="24" t="inlineStr">
        <is>
          <t>대화 메시지</t>
        </is>
      </c>
      <c r="C21" s="24" t="inlineStr">
        <is>
          <t>sources</t>
        </is>
      </c>
      <c r="D21" s="24" t="inlineStr">
        <is>
          <t>답변 출처</t>
        </is>
      </c>
      <c r="E21" s="24" t="inlineStr">
        <is>
          <t>jsonb</t>
        </is>
      </c>
      <c r="F21" s="25" t="n"/>
      <c r="G21" s="24" t="n"/>
      <c r="H21" s="25" t="inlineStr">
        <is>
          <t>N</t>
        </is>
      </c>
      <c r="I21" s="24" t="n"/>
      <c r="J21" s="24" t="inlineStr">
        <is>
          <t>답변 근거 출처 — [{ title, basedOn }] 형식 (API v1.3 H-3)</t>
        </is>
      </c>
      <c r="K21" s="24" t="inlineStr">
        <is>
          <t>CB-01 · H-2 · H-3</t>
        </is>
      </c>
      <c r="L21" s="25" t="inlineStr">
        <is>
          <t>신규</t>
        </is>
      </c>
      <c r="M21" s="25" t="inlineStr">
        <is>
          <t>v1.3</t>
        </is>
      </c>
      <c r="N21" s="24" t="n"/>
    </row>
    <row r="22">
      <c r="A22" s="23" t="inlineStr">
        <is>
          <t>chat_messages</t>
        </is>
      </c>
      <c r="B22" s="24" t="inlineStr">
        <is>
          <t>대화 메시지</t>
        </is>
      </c>
      <c r="C22" s="24" t="inlineStr">
        <is>
          <t>client_request_id</t>
        </is>
      </c>
      <c r="D22" s="24" t="inlineStr">
        <is>
          <t>요청 번호</t>
        </is>
      </c>
      <c r="E22" s="24" t="inlineStr">
        <is>
          <t>varchar(64)</t>
        </is>
      </c>
      <c r="F22" s="25" t="n"/>
      <c r="G22" s="24" t="n"/>
      <c r="H22" s="25" t="inlineStr">
        <is>
          <t>N</t>
        </is>
      </c>
      <c r="I22" s="24" t="n"/>
      <c r="J22" s="24" t="inlineStr">
        <is>
          <t>앱이 만든 요청 번호 — 다시 시도(CB-01-E6) 때 같은 질문을 두 번 저장하지 않음. (session_id, client_request_id) UQ</t>
        </is>
      </c>
      <c r="K22" s="24" t="inlineStr">
        <is>
          <t>CB-01 · H-2 · H-3 · H-7</t>
        </is>
      </c>
      <c r="L22" s="25" t="inlineStr">
        <is>
          <t>신규</t>
        </is>
      </c>
      <c r="M22" s="25" t="inlineStr">
        <is>
          <t>v1.3</t>
        </is>
      </c>
      <c r="N22" s="24" t="n"/>
    </row>
    <row r="23">
      <c r="A23" s="23" t="inlineStr">
        <is>
          <t>chat_messages</t>
        </is>
      </c>
      <c r="B23" s="24" t="inlineStr">
        <is>
          <t>대화 메시지</t>
        </is>
      </c>
      <c r="C23" s="24" t="inlineStr">
        <is>
          <t>context_card</t>
        </is>
      </c>
      <c r="D23" s="24" t="inlineStr">
        <is>
          <t>맥락 카드</t>
        </is>
      </c>
      <c r="E23" s="24" t="inlineStr">
        <is>
          <t>jsonb</t>
        </is>
      </c>
      <c r="F23" s="25" t="n"/>
      <c r="G23" s="24" t="n"/>
      <c r="H23" s="25" t="inlineStr">
        <is>
          <t>N</t>
        </is>
      </c>
      <c r="I23" s="24" t="n"/>
      <c r="J23" s="24" t="inlineStr">
        <is>
          <t>1단계 하루 한 대화에서 붙인 분석 맥락 { analysisId, context } — 다시 들어왔을 때 카드를 그대로 그림 (H-7)</t>
        </is>
      </c>
      <c r="K23" s="24" t="inlineStr">
        <is>
          <t>CB-01 · H-2 · H-3 · H-7</t>
        </is>
      </c>
      <c r="L23" s="25" t="inlineStr">
        <is>
          <t>신규</t>
        </is>
      </c>
      <c r="M23" s="25" t="inlineStr">
        <is>
          <t>v1.3</t>
        </is>
      </c>
      <c r="N23" s="24" t="n"/>
    </row>
    <row r="24">
      <c r="A24" s="23" t="inlineStr">
        <is>
          <t>chat_messages</t>
        </is>
      </c>
      <c r="B24" s="24" t="inlineStr">
        <is>
          <t>대화 메시지</t>
        </is>
      </c>
      <c r="C24" s="24" t="inlineStr">
        <is>
          <t>safety_card</t>
        </is>
      </c>
      <c r="D24" s="24" t="inlineStr">
        <is>
          <t>안전성 점검 카드</t>
        </is>
      </c>
      <c r="E24" s="24" t="inlineStr">
        <is>
          <t>jsonb</t>
        </is>
      </c>
      <c r="F24" s="25" t="n"/>
      <c r="G24" s="24" t="n"/>
      <c r="H24" s="25" t="inlineStr">
        <is>
          <t>N</t>
        </is>
      </c>
      <c r="I24" s="24" t="n"/>
      <c r="J24" s="24" t="inlineStr">
        <is>
          <t>안전성 점검 결과 카드 { analysisId, warningIds }. 카드가 붙는 답도 answer_type은 normal. 카드가 없으면 비어 있음 (이슈 #88)</t>
        </is>
      </c>
      <c r="K24" s="24" t="inlineStr">
        <is>
          <t>CB-01 / H-2 / H-3</t>
        </is>
      </c>
      <c r="L24" s="25" t="inlineStr">
        <is>
          <t>신규</t>
        </is>
      </c>
      <c r="M24" s="25" t="inlineStr">
        <is>
          <t>v1.5</t>
        </is>
      </c>
      <c r="N24" s="24" t="n"/>
    </row>
    <row r="25">
      <c r="A25" s="23" t="inlineStr">
        <is>
          <t>chat_messages</t>
        </is>
      </c>
      <c r="B25" s="24" t="inlineStr">
        <is>
          <t>대화 메시지</t>
        </is>
      </c>
      <c r="C25" s="24" t="inlineStr">
        <is>
          <t>status</t>
        </is>
      </c>
      <c r="D25" s="24" t="inlineStr">
        <is>
          <t>답변 상태</t>
        </is>
      </c>
      <c r="E25" s="24" t="inlineStr">
        <is>
          <t>varchar(20)</t>
        </is>
      </c>
      <c r="F25" s="25" t="n"/>
      <c r="G25" s="24" t="n"/>
      <c r="H25" s="25" t="inlineStr">
        <is>
          <t>Y</t>
        </is>
      </c>
      <c r="I25" s="24" t="inlineStr">
        <is>
          <t>'done'</t>
        </is>
      </c>
      <c r="J25" s="24" t="inlineStr">
        <is>
          <t>generating 또는 done. 화면을 나갔다 와도 만드는 중인 답을 알 수 있게 함. 사용자 줄은 늘 done. 실패는 두지 않음: 서버가 실패하면 답을 저장하지 않고 앱이 E6을 보여 줌 (이슈 #88)</t>
        </is>
      </c>
      <c r="K25" s="24" t="inlineStr">
        <is>
          <t>CB-01 / H-2 / H-3</t>
        </is>
      </c>
      <c r="L25" s="25" t="inlineStr">
        <is>
          <t>신규</t>
        </is>
      </c>
      <c r="M25" s="25" t="inlineStr">
        <is>
          <t>v1.5</t>
        </is>
      </c>
      <c r="N25" s="24" t="n"/>
    </row>
    <row r="26">
      <c r="A26" s="23" t="inlineStr">
        <is>
          <t>chat_messages</t>
        </is>
      </c>
      <c r="B26" s="24" t="inlineStr">
        <is>
          <t>대화 메시지</t>
        </is>
      </c>
      <c r="C26" s="24" t="inlineStr">
        <is>
          <t>model</t>
        </is>
      </c>
      <c r="D26" s="24" t="inlineStr">
        <is>
          <t>모델 이름</t>
        </is>
      </c>
      <c r="E26" s="24" t="inlineStr">
        <is>
          <t>varchar(50)</t>
        </is>
      </c>
      <c r="F26" s="25" t="n"/>
      <c r="G26" s="24" t="n"/>
      <c r="H26" s="25" t="inlineStr">
        <is>
          <t>N</t>
        </is>
      </c>
      <c r="I26" s="24" t="n"/>
      <c r="J26" s="24" t="inlineStr">
        <is>
          <t>답을 만든 모델 이름 (예: gpt-4o-mini). 답변마다 비용과 시간을 재려고 둠. assistant 줄만 채움 (이슈 #88)</t>
        </is>
      </c>
      <c r="K26" s="24" t="inlineStr">
        <is>
          <t>CB-01 / H-2 / H-3</t>
        </is>
      </c>
      <c r="L26" s="25" t="inlineStr">
        <is>
          <t>신규</t>
        </is>
      </c>
      <c r="M26" s="25" t="inlineStr">
        <is>
          <t>v1.5</t>
        </is>
      </c>
      <c r="N26" s="24" t="n"/>
    </row>
    <row r="27">
      <c r="A27" s="23" t="inlineStr">
        <is>
          <t>chat_messages</t>
        </is>
      </c>
      <c r="B27" s="24" t="inlineStr">
        <is>
          <t>대화 메시지</t>
        </is>
      </c>
      <c r="C27" s="24" t="inlineStr">
        <is>
          <t>prompt_tokens</t>
        </is>
      </c>
      <c r="D27" s="24" t="inlineStr">
        <is>
          <t>입력 토큰 수</t>
        </is>
      </c>
      <c r="E27" s="24" t="inlineStr">
        <is>
          <t>int</t>
        </is>
      </c>
      <c r="F27" s="25" t="n"/>
      <c r="G27" s="24" t="n"/>
      <c r="H27" s="25" t="inlineStr">
        <is>
          <t>N</t>
        </is>
      </c>
      <c r="I27" s="24" t="n"/>
      <c r="J27" s="24" t="inlineStr">
        <is>
          <t>답 하나에 AI를 여러 번 부르면 합친 값. assistant 줄만 채움 (이슈 #88)</t>
        </is>
      </c>
      <c r="K27" s="24" t="inlineStr">
        <is>
          <t>CB-01 / H-2 / H-3</t>
        </is>
      </c>
      <c r="L27" s="25" t="inlineStr">
        <is>
          <t>신규</t>
        </is>
      </c>
      <c r="M27" s="25" t="inlineStr">
        <is>
          <t>v1.5</t>
        </is>
      </c>
      <c r="N27" s="24" t="n"/>
    </row>
    <row r="28">
      <c r="A28" s="23" t="inlineStr">
        <is>
          <t>chat_messages</t>
        </is>
      </c>
      <c r="B28" s="24" t="inlineStr">
        <is>
          <t>대화 메시지</t>
        </is>
      </c>
      <c r="C28" s="24" t="inlineStr">
        <is>
          <t>completion_tokens</t>
        </is>
      </c>
      <c r="D28" s="24" t="inlineStr">
        <is>
          <t>출력 토큰 수</t>
        </is>
      </c>
      <c r="E28" s="24" t="inlineStr">
        <is>
          <t>int</t>
        </is>
      </c>
      <c r="F28" s="25" t="n"/>
      <c r="G28" s="24" t="n"/>
      <c r="H28" s="25" t="inlineStr">
        <is>
          <t>N</t>
        </is>
      </c>
      <c r="I28" s="24" t="n"/>
      <c r="J28" s="24" t="inlineStr">
        <is>
          <t>출력 토큰 수 합친 값. assistant 줄만 채움 (이슈 #88)</t>
        </is>
      </c>
      <c r="K28" s="24" t="inlineStr">
        <is>
          <t>CB-01 / H-2 / H-3</t>
        </is>
      </c>
      <c r="L28" s="25" t="inlineStr">
        <is>
          <t>신규</t>
        </is>
      </c>
      <c r="M28" s="25" t="inlineStr">
        <is>
          <t>v1.5</t>
        </is>
      </c>
      <c r="N28" s="24" t="n"/>
    </row>
    <row r="29">
      <c r="A29" s="23" t="inlineStr">
        <is>
          <t>chat_messages</t>
        </is>
      </c>
      <c r="B29" s="24" t="inlineStr">
        <is>
          <t>대화 메시지</t>
        </is>
      </c>
      <c r="C29" s="24" t="inlineStr">
        <is>
          <t>latency_ms</t>
        </is>
      </c>
      <c r="D29" s="24" t="inlineStr">
        <is>
          <t>걸린 시간(ms)</t>
        </is>
      </c>
      <c r="E29" s="24" t="inlineStr">
        <is>
          <t>int</t>
        </is>
      </c>
      <c r="F29" s="25" t="n"/>
      <c r="G29" s="24" t="n"/>
      <c r="H29" s="25" t="inlineStr">
        <is>
          <t>N</t>
        </is>
      </c>
      <c r="I29" s="24" t="n"/>
      <c r="J29" s="24" t="inlineStr">
        <is>
          <t>질문을 받은 때부터 답을 저장할 때까지 걸린 시간, 밀리초. assistant 줄만 채움 (이슈 #88)</t>
        </is>
      </c>
      <c r="K29" s="24" t="inlineStr">
        <is>
          <t>CB-01 / H-2 / H-3</t>
        </is>
      </c>
      <c r="L29" s="25" t="inlineStr">
        <is>
          <t>신규</t>
        </is>
      </c>
      <c r="M29" s="25" t="inlineStr">
        <is>
          <t>v1.5</t>
        </is>
      </c>
      <c r="N29" s="24" t="n"/>
    </row>
    <row r="30">
      <c r="A30" s="19" t="inlineStr">
        <is>
          <t>chat_messages</t>
        </is>
      </c>
      <c r="B30" s="15" t="inlineStr">
        <is>
          <t>대화 메시지</t>
        </is>
      </c>
      <c r="C30" s="15" t="inlineStr">
        <is>
          <t>created_at</t>
        </is>
      </c>
      <c r="D30" s="15" t="inlineStr">
        <is>
          <t>생성 일시</t>
        </is>
      </c>
      <c r="E30" s="15" t="inlineStr">
        <is>
          <t>timestamp</t>
        </is>
      </c>
      <c r="F30" s="16" t="n"/>
      <c r="G30" s="15" t="n"/>
      <c r="H30" s="16" t="inlineStr">
        <is>
          <t>N</t>
        </is>
      </c>
      <c r="I30" s="15" t="inlineStr">
        <is>
          <t>now()</t>
        </is>
      </c>
      <c r="J30" s="15" t="n"/>
      <c r="K30" s="15" t="inlineStr">
        <is>
          <t>CB-01 · H-2 · H-3</t>
        </is>
      </c>
      <c r="L30" s="16" t="inlineStr">
        <is>
          <t>기존</t>
        </is>
      </c>
      <c r="M30" s="16" t="inlineStr">
        <is>
          <t>v0.1</t>
        </is>
      </c>
      <c r="N30" s="15" t="n"/>
    </row>
  </sheetData>
  <autoFilter ref="A4:N27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v1.3 · 실천·보상</t>
        </is>
      </c>
    </row>
    <row r="2">
      <c r="A2" s="42" t="inlineStr">
        <is>
          <t>성규 · 추천 · 목표 · 기록 · 포인트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23" t="inlineStr">
        <is>
          <t>recommendations</t>
        </is>
      </c>
      <c r="B5" s="24" t="inlineStr">
        <is>
          <t>생활습관 추천</t>
        </is>
      </c>
      <c r="C5" s="24" t="inlineStr">
        <is>
          <t>id</t>
        </is>
      </c>
      <c r="D5" s="24" t="inlineStr">
        <is>
          <t>ID</t>
        </is>
      </c>
      <c r="E5" s="24" t="inlineStr">
        <is>
          <t>bigint</t>
        </is>
      </c>
      <c r="F5" s="25" t="inlineStr">
        <is>
          <t>PK</t>
        </is>
      </c>
      <c r="G5" s="24" t="inlineStr"/>
      <c r="H5" s="25" t="inlineStr">
        <is>
          <t>Y</t>
        </is>
      </c>
      <c r="I5" s="24" t="inlineStr"/>
      <c r="J5" s="24" t="inlineStr"/>
      <c r="K5" s="24" t="inlineStr">
        <is>
          <t>RW-01 · RG-05 · P-1</t>
        </is>
      </c>
      <c r="L5" s="25" t="inlineStr">
        <is>
          <t>신규</t>
        </is>
      </c>
      <c r="M5" s="25" t="inlineStr">
        <is>
          <t>v1.0</t>
        </is>
      </c>
      <c r="N5" s="24" t="inlineStr">
        <is>
          <t>AI 추천만으로는 목표가 되지 않음 — 사용자가 골라야 habit_goals 생성 (REQ-110)</t>
        </is>
      </c>
    </row>
    <row r="6">
      <c r="A6" s="23" t="inlineStr">
        <is>
          <t>recommendations</t>
        </is>
      </c>
      <c r="B6" s="24" t="inlineStr">
        <is>
          <t>생활습관 추천</t>
        </is>
      </c>
      <c r="C6" s="24" t="inlineStr">
        <is>
          <t>analysis_id</t>
        </is>
      </c>
      <c r="D6" s="24" t="inlineStr">
        <is>
          <t>분석 ID</t>
        </is>
      </c>
      <c r="E6" s="24" t="inlineStr">
        <is>
          <t>bigint</t>
        </is>
      </c>
      <c r="F6" s="25" t="inlineStr">
        <is>
          <t>FK</t>
        </is>
      </c>
      <c r="G6" s="24" t="inlineStr">
        <is>
          <t>analyses.id</t>
        </is>
      </c>
      <c r="H6" s="25" t="inlineStr">
        <is>
          <t>Y</t>
        </is>
      </c>
      <c r="I6" s="24" t="inlineStr"/>
      <c r="J6" s="24" t="inlineStr"/>
      <c r="K6" s="24" t="inlineStr">
        <is>
          <t>RW-01 · RG-05 · P-1</t>
        </is>
      </c>
      <c r="L6" s="25" t="inlineStr">
        <is>
          <t>신규</t>
        </is>
      </c>
      <c r="M6" s="25" t="inlineStr">
        <is>
          <t>v1.0</t>
        </is>
      </c>
      <c r="N6" s="24" t="inlineStr"/>
    </row>
    <row r="7">
      <c r="A7" s="23" t="inlineStr">
        <is>
          <t>recommendations</t>
        </is>
      </c>
      <c r="B7" s="24" t="inlineStr">
        <is>
          <t>생활습관 추천</t>
        </is>
      </c>
      <c r="C7" s="24" t="inlineStr">
        <is>
          <t>guide_id</t>
        </is>
      </c>
      <c r="D7" s="24" t="inlineStr">
        <is>
          <t>생활습관 팩트 ID</t>
        </is>
      </c>
      <c r="E7" s="24" t="inlineStr">
        <is>
          <t>bigint</t>
        </is>
      </c>
      <c r="F7" s="25" t="inlineStr">
        <is>
          <t>FK</t>
        </is>
      </c>
      <c r="G7" s="24" t="inlineStr">
        <is>
          <t>lifestyle_guides.id</t>
        </is>
      </c>
      <c r="H7" s="25" t="inlineStr">
        <is>
          <t>N</t>
        </is>
      </c>
      <c r="I7" s="24" t="inlineStr"/>
      <c r="J7" s="24" t="inlineStr">
        <is>
          <t>질환 기준 추천일 때</t>
        </is>
      </c>
      <c r="K7" s="24" t="inlineStr">
        <is>
          <t>RW-01 · RG-05 · P-1</t>
        </is>
      </c>
      <c r="L7" s="25" t="inlineStr">
        <is>
          <t>신규</t>
        </is>
      </c>
      <c r="M7" s="25" t="inlineStr">
        <is>
          <t>v1.0</t>
        </is>
      </c>
      <c r="N7" s="24" t="inlineStr"/>
    </row>
    <row r="8">
      <c r="A8" s="23" t="inlineStr">
        <is>
          <t>recommendations</t>
        </is>
      </c>
      <c r="B8" s="24" t="inlineStr">
        <is>
          <t>생활습관 추천</t>
        </is>
      </c>
      <c r="C8" s="24" t="inlineStr">
        <is>
          <t>medication_link_id</t>
        </is>
      </c>
      <c r="D8" s="24" t="inlineStr">
        <is>
          <t>약-생활수칙 연결 ID</t>
        </is>
      </c>
      <c r="E8" s="24" t="inlineStr">
        <is>
          <t>bigint</t>
        </is>
      </c>
      <c r="F8" s="25" t="inlineStr">
        <is>
          <t>FK</t>
        </is>
      </c>
      <c r="G8" s="24" t="inlineStr">
        <is>
          <t>lifestyle_medication_links.id</t>
        </is>
      </c>
      <c r="H8" s="25" t="inlineStr">
        <is>
          <t>N</t>
        </is>
      </c>
      <c r="I8" s="24" t="inlineStr"/>
      <c r="J8" s="24" t="inlineStr">
        <is>
          <t>약 기준 추천일 때</t>
        </is>
      </c>
      <c r="K8" s="24" t="inlineStr">
        <is>
          <t>RW-01 · RG-05 · P-1</t>
        </is>
      </c>
      <c r="L8" s="25" t="inlineStr">
        <is>
          <t>신규</t>
        </is>
      </c>
      <c r="M8" s="25" t="inlineStr">
        <is>
          <t>v1.0</t>
        </is>
      </c>
      <c r="N8" s="24" t="inlineStr"/>
    </row>
    <row r="9">
      <c r="A9" s="23" t="inlineStr">
        <is>
          <t>recommendations</t>
        </is>
      </c>
      <c r="B9" s="24" t="inlineStr">
        <is>
          <t>생활습관 추천</t>
        </is>
      </c>
      <c r="C9" s="24" t="inlineStr">
        <is>
          <t>action_id</t>
        </is>
      </c>
      <c r="D9" s="24" t="inlineStr">
        <is>
          <t>실천 항목 ID</t>
        </is>
      </c>
      <c r="E9" s="24" t="inlineStr">
        <is>
          <t>bigint</t>
        </is>
      </c>
      <c r="F9" s="25" t="inlineStr">
        <is>
          <t>FK</t>
        </is>
      </c>
      <c r="G9" s="24" t="inlineStr">
        <is>
          <t>lifestyle_guide_actions.id</t>
        </is>
      </c>
      <c r="H9" s="25" t="inlineStr">
        <is>
          <t>N</t>
        </is>
      </c>
      <c r="I9" s="24" t="inlineStr"/>
      <c r="J9" s="24" t="inlineStr">
        <is>
          <t>어떤 실천 항목(출처 포함)에서 나온 추천인지</t>
        </is>
      </c>
      <c r="K9" s="24" t="inlineStr">
        <is>
          <t>RW-01 · RG-05 · P-1</t>
        </is>
      </c>
      <c r="L9" s="25" t="inlineStr">
        <is>
          <t>신규</t>
        </is>
      </c>
      <c r="M9" s="25" t="inlineStr">
        <is>
          <t>v1.2</t>
        </is>
      </c>
      <c r="N9" s="24" t="inlineStr"/>
    </row>
    <row r="10">
      <c r="A10" s="23" t="inlineStr">
        <is>
          <t>recommendations</t>
        </is>
      </c>
      <c r="B10" s="24" t="inlineStr">
        <is>
          <t>생활습관 추천</t>
        </is>
      </c>
      <c r="C10" s="24" t="inlineStr">
        <is>
          <t>title</t>
        </is>
      </c>
      <c r="D10" s="24" t="inlineStr">
        <is>
          <t>제목</t>
        </is>
      </c>
      <c r="E10" s="24" t="inlineStr">
        <is>
          <t>varchar(100)</t>
        </is>
      </c>
      <c r="F10" s="25" t="inlineStr"/>
      <c r="G10" s="24" t="inlineStr"/>
      <c r="H10" s="25" t="inlineStr">
        <is>
          <t>Y</t>
        </is>
      </c>
      <c r="I10" s="24" t="inlineStr"/>
      <c r="J10" s="24" t="inlineStr">
        <is>
          <t>국물 남기기 등</t>
        </is>
      </c>
      <c r="K10" s="24" t="inlineStr">
        <is>
          <t>RW-01 · RG-05 · P-1</t>
        </is>
      </c>
      <c r="L10" s="25" t="inlineStr">
        <is>
          <t>신규</t>
        </is>
      </c>
      <c r="M10" s="25" t="inlineStr">
        <is>
          <t>v1.0</t>
        </is>
      </c>
      <c r="N10" s="24" t="inlineStr"/>
    </row>
    <row r="11">
      <c r="A11" s="23" t="inlineStr">
        <is>
          <t>recommendations</t>
        </is>
      </c>
      <c r="B11" s="24" t="inlineStr">
        <is>
          <t>생활습관 추천</t>
        </is>
      </c>
      <c r="C11" s="24" t="inlineStr">
        <is>
          <t>reason_label</t>
        </is>
      </c>
      <c r="D11" s="24" t="inlineStr">
        <is>
          <t>추천 이유 라벨</t>
        </is>
      </c>
      <c r="E11" s="24" t="inlineStr">
        <is>
          <t>varchar(50)</t>
        </is>
      </c>
      <c r="F11" s="25" t="inlineStr"/>
      <c r="G11" s="24" t="inlineStr"/>
      <c r="H11" s="25" t="inlineStr">
        <is>
          <t>N</t>
        </is>
      </c>
      <c r="I11" s="24" t="inlineStr"/>
      <c r="J11" s="24" t="inlineStr">
        <is>
          <t>고혈압 / 약과 함께 등 (화면 라벨)</t>
        </is>
      </c>
      <c r="K11" s="24" t="inlineStr">
        <is>
          <t>RW-01 · RG-05 · P-1</t>
        </is>
      </c>
      <c r="L11" s="25" t="inlineStr">
        <is>
          <t>신규</t>
        </is>
      </c>
      <c r="M11" s="25" t="inlineStr">
        <is>
          <t>v1.0</t>
        </is>
      </c>
      <c r="N11" s="24" t="inlineStr"/>
    </row>
    <row r="12">
      <c r="A12" s="23" t="inlineStr">
        <is>
          <t>recommendations</t>
        </is>
      </c>
      <c r="B12" s="24" t="inlineStr">
        <is>
          <t>생활습관 추천</t>
        </is>
      </c>
      <c r="C12" s="24" t="inlineStr">
        <is>
          <t>goal_type</t>
        </is>
      </c>
      <c r="D12" s="24" t="inlineStr">
        <is>
          <t>목표 유형</t>
        </is>
      </c>
      <c r="E12" s="24" t="inlineStr">
        <is>
          <t>varchar(20)</t>
        </is>
      </c>
      <c r="F12" s="25" t="inlineStr"/>
      <c r="G12" s="24" t="inlineStr"/>
      <c r="H12" s="25" t="inlineStr">
        <is>
          <t>N</t>
        </is>
      </c>
      <c r="I12" s="24" t="inlineStr"/>
      <c r="J12" s="24" t="inlineStr">
        <is>
          <t>check / quantity</t>
        </is>
      </c>
      <c r="K12" s="24" t="inlineStr">
        <is>
          <t>RW-01 · RG-05 · P-1</t>
        </is>
      </c>
      <c r="L12" s="25" t="inlineStr">
        <is>
          <t>신규</t>
        </is>
      </c>
      <c r="M12" s="25" t="inlineStr">
        <is>
          <t>v1.0</t>
        </is>
      </c>
      <c r="N12" s="24" t="inlineStr"/>
    </row>
    <row r="13">
      <c r="A13" s="23" t="inlineStr">
        <is>
          <t>recommendations</t>
        </is>
      </c>
      <c r="B13" s="24" t="inlineStr">
        <is>
          <t>생활습관 추천</t>
        </is>
      </c>
      <c r="C13" s="24" t="inlineStr">
        <is>
          <t>target_value</t>
        </is>
      </c>
      <c r="D13" s="24" t="inlineStr">
        <is>
          <t>목표 수치</t>
        </is>
      </c>
      <c r="E13" s="24" t="inlineStr">
        <is>
          <t>decimal(10,2)</t>
        </is>
      </c>
      <c r="F13" s="25" t="inlineStr"/>
      <c r="G13" s="24" t="inlineStr"/>
      <c r="H13" s="25" t="inlineStr">
        <is>
          <t>N</t>
        </is>
      </c>
      <c r="I13" s="24" t="inlineStr"/>
      <c r="J13" s="24" t="inlineStr">
        <is>
          <t>수량형 목표 (예: 30)</t>
        </is>
      </c>
      <c r="K13" s="24" t="inlineStr">
        <is>
          <t>RW-01 · RG-05 · P-1</t>
        </is>
      </c>
      <c r="L13" s="25" t="inlineStr">
        <is>
          <t>신규</t>
        </is>
      </c>
      <c r="M13" s="25" t="inlineStr">
        <is>
          <t>v1.0</t>
        </is>
      </c>
      <c r="N13" s="24" t="inlineStr"/>
    </row>
    <row r="14">
      <c r="A14" s="23" t="inlineStr">
        <is>
          <t>recommendations</t>
        </is>
      </c>
      <c r="B14" s="24" t="inlineStr">
        <is>
          <t>생활습관 추천</t>
        </is>
      </c>
      <c r="C14" s="24" t="inlineStr">
        <is>
          <t>unit</t>
        </is>
      </c>
      <c r="D14" s="24" t="inlineStr">
        <is>
          <t>단위</t>
        </is>
      </c>
      <c r="E14" s="24" t="inlineStr">
        <is>
          <t>varchar(20)</t>
        </is>
      </c>
      <c r="F14" s="25" t="inlineStr"/>
      <c r="G14" s="24" t="inlineStr"/>
      <c r="H14" s="25" t="inlineStr">
        <is>
          <t>N</t>
        </is>
      </c>
      <c r="I14" s="24" t="inlineStr"/>
      <c r="J14" s="24" t="inlineStr">
        <is>
          <t>분 등</t>
        </is>
      </c>
      <c r="K14" s="24" t="inlineStr">
        <is>
          <t>RW-01 · RG-05 · P-1</t>
        </is>
      </c>
      <c r="L14" s="25" t="inlineStr">
        <is>
          <t>신규</t>
        </is>
      </c>
      <c r="M14" s="25" t="inlineStr">
        <is>
          <t>v1.0</t>
        </is>
      </c>
      <c r="N14" s="24" t="inlineStr"/>
    </row>
    <row r="15">
      <c r="A15" s="23" t="inlineStr">
        <is>
          <t>recommendations</t>
        </is>
      </c>
      <c r="B15" s="24" t="inlineStr">
        <is>
          <t>생활습관 추천</t>
        </is>
      </c>
      <c r="C15" s="24" t="inlineStr">
        <is>
          <t>rank</t>
        </is>
      </c>
      <c r="D15" s="24" t="inlineStr">
        <is>
          <t>순위</t>
        </is>
      </c>
      <c r="E15" s="24" t="inlineStr">
        <is>
          <t>smallint</t>
        </is>
      </c>
      <c r="F15" s="25" t="inlineStr"/>
      <c r="G15" s="24" t="inlineStr"/>
      <c r="H15" s="25" t="inlineStr">
        <is>
          <t>N</t>
        </is>
      </c>
      <c r="I15" s="24" t="inlineStr"/>
      <c r="J15" s="24" t="inlineStr"/>
      <c r="K15" s="24" t="inlineStr">
        <is>
          <t>RW-01 · RG-05 · P-1</t>
        </is>
      </c>
      <c r="L15" s="25" t="inlineStr">
        <is>
          <t>신규</t>
        </is>
      </c>
      <c r="M15" s="25" t="inlineStr">
        <is>
          <t>v1.0</t>
        </is>
      </c>
      <c r="N15" s="24" t="inlineStr"/>
    </row>
    <row r="16">
      <c r="A16" s="23" t="inlineStr">
        <is>
          <t>habit_goals</t>
        </is>
      </c>
      <c r="B16" s="24" t="inlineStr">
        <is>
          <t>실천 목표</t>
        </is>
      </c>
      <c r="C16" s="24" t="inlineStr">
        <is>
          <t>id</t>
        </is>
      </c>
      <c r="D16" s="24" t="inlineStr">
        <is>
          <t>ID</t>
        </is>
      </c>
      <c r="E16" s="24" t="inlineStr">
        <is>
          <t>bigint</t>
        </is>
      </c>
      <c r="F16" s="25" t="inlineStr">
        <is>
          <t>PK</t>
        </is>
      </c>
      <c r="G16" s="24" t="inlineStr"/>
      <c r="H16" s="25" t="inlineStr">
        <is>
          <t>Y</t>
        </is>
      </c>
      <c r="I16" s="24" t="inlineStr"/>
      <c r="J16" s="24" t="inlineStr"/>
      <c r="K16" s="24" t="inlineStr">
        <is>
          <t>RW-02 · P-2 · P-3</t>
        </is>
      </c>
      <c r="L16" s="25" t="inlineStr">
        <is>
          <t>신규</t>
        </is>
      </c>
      <c r="M16" s="25" t="inlineStr">
        <is>
          <t>v1.0</t>
        </is>
      </c>
      <c r="N16" s="24" t="inlineStr">
        <is>
          <t>최대 3개 활성 (REQ-111)</t>
        </is>
      </c>
    </row>
    <row r="17">
      <c r="A17" s="23" t="inlineStr">
        <is>
          <t>habit_goals</t>
        </is>
      </c>
      <c r="B17" s="24" t="inlineStr">
        <is>
          <t>실천 목표</t>
        </is>
      </c>
      <c r="C17" s="24" t="inlineStr">
        <is>
          <t>user_id</t>
        </is>
      </c>
      <c r="D17" s="24" t="inlineStr">
        <is>
          <t>사용자 ID</t>
        </is>
      </c>
      <c r="E17" s="24" t="inlineStr">
        <is>
          <t>bigint</t>
        </is>
      </c>
      <c r="F17" s="25" t="inlineStr">
        <is>
          <t>FK</t>
        </is>
      </c>
      <c r="G17" s="24" t="inlineStr">
        <is>
          <t>users.id</t>
        </is>
      </c>
      <c r="H17" s="25" t="inlineStr">
        <is>
          <t>Y</t>
        </is>
      </c>
      <c r="I17" s="24" t="inlineStr"/>
      <c r="J17" s="24" t="inlineStr"/>
      <c r="K17" s="24" t="inlineStr">
        <is>
          <t>RW-02 · P-2 · P-3</t>
        </is>
      </c>
      <c r="L17" s="25" t="inlineStr">
        <is>
          <t>신규</t>
        </is>
      </c>
      <c r="M17" s="25" t="inlineStr">
        <is>
          <t>v1.0</t>
        </is>
      </c>
      <c r="N17" s="24" t="inlineStr"/>
    </row>
    <row r="18">
      <c r="A18" s="23" t="inlineStr">
        <is>
          <t>habit_goals</t>
        </is>
      </c>
      <c r="B18" s="24" t="inlineStr">
        <is>
          <t>실천 목표</t>
        </is>
      </c>
      <c r="C18" s="24" t="inlineStr">
        <is>
          <t>recommendation_id</t>
        </is>
      </c>
      <c r="D18" s="24" t="inlineStr">
        <is>
          <t>추천 ID</t>
        </is>
      </c>
      <c r="E18" s="24" t="inlineStr">
        <is>
          <t>bigint</t>
        </is>
      </c>
      <c r="F18" s="25" t="inlineStr">
        <is>
          <t>FK</t>
        </is>
      </c>
      <c r="G18" s="24" t="inlineStr">
        <is>
          <t>recommendations.id</t>
        </is>
      </c>
      <c r="H18" s="25" t="inlineStr">
        <is>
          <t>N</t>
        </is>
      </c>
      <c r="I18" s="24" t="inlineStr"/>
      <c r="J18" s="24" t="inlineStr">
        <is>
          <t>추천(분석)이 지워지면 비움 (ON DELETE SET NULL) — 목표 · 기록 · 포인트는 남김 (기록 삭제 · 동의 철회)</t>
        </is>
      </c>
      <c r="K18" s="24" t="inlineStr">
        <is>
          <t>RW-02 · P-2 · P-3</t>
        </is>
      </c>
      <c r="L18" s="25" t="inlineStr">
        <is>
          <t>신규</t>
        </is>
      </c>
      <c r="M18" s="25" t="inlineStr">
        <is>
          <t>v1.3</t>
        </is>
      </c>
      <c r="N18" s="24" t="inlineStr"/>
    </row>
    <row r="19">
      <c r="A19" s="23" t="inlineStr">
        <is>
          <t>habit_goals</t>
        </is>
      </c>
      <c r="B19" s="24" t="inlineStr">
        <is>
          <t>실천 목표</t>
        </is>
      </c>
      <c r="C19" s="24" t="inlineStr">
        <is>
          <t>title</t>
        </is>
      </c>
      <c r="D19" s="24" t="inlineStr">
        <is>
          <t>제목</t>
        </is>
      </c>
      <c r="E19" s="24" t="inlineStr">
        <is>
          <t>varchar(100)</t>
        </is>
      </c>
      <c r="F19" s="25" t="inlineStr"/>
      <c r="G19" s="24" t="inlineStr"/>
      <c r="H19" s="25" t="inlineStr">
        <is>
          <t>Y</t>
        </is>
      </c>
      <c r="I19" s="24" t="inlineStr"/>
      <c r="J19" s="24" t="inlineStr"/>
      <c r="K19" s="24" t="inlineStr">
        <is>
          <t>RW-02 · P-2 · P-3</t>
        </is>
      </c>
      <c r="L19" s="25" t="inlineStr">
        <is>
          <t>신규</t>
        </is>
      </c>
      <c r="M19" s="25" t="inlineStr">
        <is>
          <t>v1.0</t>
        </is>
      </c>
      <c r="N19" s="24" t="inlineStr"/>
    </row>
    <row r="20">
      <c r="A20" s="23" t="inlineStr">
        <is>
          <t>habit_goals</t>
        </is>
      </c>
      <c r="B20" s="24" t="inlineStr">
        <is>
          <t>실천 목표</t>
        </is>
      </c>
      <c r="C20" s="24" t="inlineStr">
        <is>
          <t>goal_type</t>
        </is>
      </c>
      <c r="D20" s="24" t="inlineStr">
        <is>
          <t>목표 유형</t>
        </is>
      </c>
      <c r="E20" s="24" t="inlineStr">
        <is>
          <t>varchar(20)</t>
        </is>
      </c>
      <c r="F20" s="25" t="inlineStr"/>
      <c r="G20" s="24" t="inlineStr"/>
      <c r="H20" s="25" t="inlineStr">
        <is>
          <t>Y</t>
        </is>
      </c>
      <c r="I20" s="24" t="inlineStr"/>
      <c r="J20" s="24" t="inlineStr">
        <is>
          <t>check / quantity</t>
        </is>
      </c>
      <c r="K20" s="24" t="inlineStr">
        <is>
          <t>RW-02 · P-2 · P-3</t>
        </is>
      </c>
      <c r="L20" s="25" t="inlineStr">
        <is>
          <t>신규</t>
        </is>
      </c>
      <c r="M20" s="25" t="inlineStr">
        <is>
          <t>v1.0</t>
        </is>
      </c>
      <c r="N20" s="24" t="inlineStr"/>
    </row>
    <row r="21">
      <c r="A21" s="23" t="inlineStr">
        <is>
          <t>habit_goals</t>
        </is>
      </c>
      <c r="B21" s="24" t="inlineStr">
        <is>
          <t>실천 목표</t>
        </is>
      </c>
      <c r="C21" s="24" t="inlineStr">
        <is>
          <t>target_value</t>
        </is>
      </c>
      <c r="D21" s="24" t="inlineStr">
        <is>
          <t>목표 수치</t>
        </is>
      </c>
      <c r="E21" s="24" t="inlineStr">
        <is>
          <t>decimal(10,2)</t>
        </is>
      </c>
      <c r="F21" s="25" t="inlineStr"/>
      <c r="G21" s="24" t="inlineStr"/>
      <c r="H21" s="25" t="inlineStr">
        <is>
          <t>N</t>
        </is>
      </c>
      <c r="I21" s="24" t="inlineStr"/>
      <c r="J21" s="24" t="inlineStr"/>
      <c r="K21" s="24" t="inlineStr">
        <is>
          <t>RW-02 · P-2 · P-3</t>
        </is>
      </c>
      <c r="L21" s="25" t="inlineStr">
        <is>
          <t>신규</t>
        </is>
      </c>
      <c r="M21" s="25" t="inlineStr">
        <is>
          <t>v1.0</t>
        </is>
      </c>
      <c r="N21" s="24" t="inlineStr"/>
    </row>
    <row r="22">
      <c r="A22" s="23" t="inlineStr">
        <is>
          <t>habit_goals</t>
        </is>
      </c>
      <c r="B22" s="24" t="inlineStr">
        <is>
          <t>실천 목표</t>
        </is>
      </c>
      <c r="C22" s="24" t="inlineStr">
        <is>
          <t>unit</t>
        </is>
      </c>
      <c r="D22" s="24" t="inlineStr">
        <is>
          <t>단위</t>
        </is>
      </c>
      <c r="E22" s="24" t="inlineStr">
        <is>
          <t>varchar(20)</t>
        </is>
      </c>
      <c r="F22" s="25" t="inlineStr"/>
      <c r="G22" s="24" t="inlineStr"/>
      <c r="H22" s="25" t="inlineStr">
        <is>
          <t>N</t>
        </is>
      </c>
      <c r="I22" s="24" t="inlineStr"/>
      <c r="J22" s="24" t="inlineStr"/>
      <c r="K22" s="24" t="inlineStr">
        <is>
          <t>RW-02 · P-2 · P-3</t>
        </is>
      </c>
      <c r="L22" s="25" t="inlineStr">
        <is>
          <t>신규</t>
        </is>
      </c>
      <c r="M22" s="25" t="inlineStr">
        <is>
          <t>v1.0</t>
        </is>
      </c>
      <c r="N22" s="24" t="inlineStr"/>
    </row>
    <row r="23">
      <c r="A23" s="23" t="inlineStr">
        <is>
          <t>habit_goals</t>
        </is>
      </c>
      <c r="B23" s="24" t="inlineStr">
        <is>
          <t>실천 목표</t>
        </is>
      </c>
      <c r="C23" s="24" t="inlineStr">
        <is>
          <t>start_date</t>
        </is>
      </c>
      <c r="D23" s="24" t="inlineStr">
        <is>
          <t>시작일</t>
        </is>
      </c>
      <c r="E23" s="24" t="inlineStr">
        <is>
          <t>date</t>
        </is>
      </c>
      <c r="F23" s="25" t="inlineStr"/>
      <c r="G23" s="24" t="inlineStr"/>
      <c r="H23" s="25" t="inlineStr">
        <is>
          <t>Y</t>
        </is>
      </c>
      <c r="I23" s="24" t="inlineStr"/>
      <c r="J23" s="24" t="inlineStr"/>
      <c r="K23" s="24" t="inlineStr">
        <is>
          <t>RW-02 · P-2 · P-3</t>
        </is>
      </c>
      <c r="L23" s="25" t="inlineStr">
        <is>
          <t>신규</t>
        </is>
      </c>
      <c r="M23" s="25" t="inlineStr">
        <is>
          <t>v1.0</t>
        </is>
      </c>
      <c r="N23" s="24" t="inlineStr"/>
    </row>
    <row r="24">
      <c r="A24" s="23" t="inlineStr">
        <is>
          <t>habit_goals</t>
        </is>
      </c>
      <c r="B24" s="24" t="inlineStr">
        <is>
          <t>실천 목표</t>
        </is>
      </c>
      <c r="C24" s="24" t="inlineStr">
        <is>
          <t>end_date</t>
        </is>
      </c>
      <c r="D24" s="24" t="inlineStr">
        <is>
          <t>종료일</t>
        </is>
      </c>
      <c r="E24" s="24" t="inlineStr">
        <is>
          <t>date</t>
        </is>
      </c>
      <c r="F24" s="25" t="inlineStr"/>
      <c r="G24" s="24" t="inlineStr"/>
      <c r="H24" s="25" t="inlineStr">
        <is>
          <t>N</t>
        </is>
      </c>
      <c r="I24" s="24" t="inlineStr"/>
      <c r="J24" s="24" t="inlineStr">
        <is>
          <t>주 단위 (REQ-116 재선택 흐름 🟡)</t>
        </is>
      </c>
      <c r="K24" s="24" t="inlineStr">
        <is>
          <t>RW-02 · P-2 · P-3</t>
        </is>
      </c>
      <c r="L24" s="25" t="inlineStr">
        <is>
          <t>신규</t>
        </is>
      </c>
      <c r="M24" s="25" t="inlineStr">
        <is>
          <t>v1.0</t>
        </is>
      </c>
      <c r="N24" s="24" t="inlineStr"/>
    </row>
    <row r="25">
      <c r="A25" s="23" t="inlineStr">
        <is>
          <t>habit_goals</t>
        </is>
      </c>
      <c r="B25" s="24" t="inlineStr">
        <is>
          <t>실천 목표</t>
        </is>
      </c>
      <c r="C25" s="24" t="inlineStr">
        <is>
          <t>status</t>
        </is>
      </c>
      <c r="D25" s="24" t="inlineStr">
        <is>
          <t>상태</t>
        </is>
      </c>
      <c r="E25" s="24" t="inlineStr">
        <is>
          <t>varchar(20)</t>
        </is>
      </c>
      <c r="F25" s="25" t="inlineStr"/>
      <c r="G25" s="24" t="inlineStr"/>
      <c r="H25" s="25" t="inlineStr">
        <is>
          <t>N</t>
        </is>
      </c>
      <c r="I25" s="24" t="inlineStr"/>
      <c r="J25" s="24" t="inlineStr">
        <is>
          <t>active / ended</t>
        </is>
      </c>
      <c r="K25" s="24" t="inlineStr">
        <is>
          <t>RW-02 · P-2 · P-3</t>
        </is>
      </c>
      <c r="L25" s="25" t="inlineStr">
        <is>
          <t>신규</t>
        </is>
      </c>
      <c r="M25" s="25" t="inlineStr">
        <is>
          <t>v1.0</t>
        </is>
      </c>
      <c r="N25" s="24" t="inlineStr"/>
    </row>
    <row r="26">
      <c r="A26" s="23" t="inlineStr">
        <is>
          <t>habit_goals</t>
        </is>
      </c>
      <c r="B26" s="24" t="inlineStr">
        <is>
          <t>실천 목표</t>
        </is>
      </c>
      <c r="C26" s="24" t="inlineStr">
        <is>
          <t>created_at</t>
        </is>
      </c>
      <c r="D26" s="24" t="inlineStr">
        <is>
          <t>생성 일시</t>
        </is>
      </c>
      <c r="E26" s="24" t="inlineStr">
        <is>
          <t>timestamp</t>
        </is>
      </c>
      <c r="F26" s="25" t="inlineStr"/>
      <c r="G26" s="24" t="inlineStr"/>
      <c r="H26" s="25" t="inlineStr">
        <is>
          <t>N</t>
        </is>
      </c>
      <c r="I26" s="24" t="inlineStr">
        <is>
          <t>now()</t>
        </is>
      </c>
      <c r="J26" s="24" t="inlineStr"/>
      <c r="K26" s="24" t="inlineStr">
        <is>
          <t>RW-02 · P-2 · P-3</t>
        </is>
      </c>
      <c r="L26" s="25" t="inlineStr">
        <is>
          <t>신규</t>
        </is>
      </c>
      <c r="M26" s="25" t="inlineStr">
        <is>
          <t>v1.0</t>
        </is>
      </c>
      <c r="N26" s="24" t="inlineStr"/>
    </row>
    <row r="27">
      <c r="A27" s="23" t="inlineStr">
        <is>
          <t>habit_records</t>
        </is>
      </c>
      <c r="B27" s="24" t="inlineStr">
        <is>
          <t>실천 기록</t>
        </is>
      </c>
      <c r="C27" s="24" t="inlineStr">
        <is>
          <t>id</t>
        </is>
      </c>
      <c r="D27" s="24" t="inlineStr">
        <is>
          <t>ID</t>
        </is>
      </c>
      <c r="E27" s="24" t="inlineStr">
        <is>
          <t>bigint</t>
        </is>
      </c>
      <c r="F27" s="25" t="inlineStr">
        <is>
          <t>PK</t>
        </is>
      </c>
      <c r="G27" s="24" t="inlineStr"/>
      <c r="H27" s="25" t="inlineStr">
        <is>
          <t>Y</t>
        </is>
      </c>
      <c r="I27" s="24" t="inlineStr"/>
      <c r="J27" s="24" t="inlineStr"/>
      <c r="K27" s="24" t="inlineStr">
        <is>
          <t>RW-03 · RW-04 · P-4 · P-5</t>
        </is>
      </c>
      <c r="L27" s="25" t="inlineStr">
        <is>
          <t>신규</t>
        </is>
      </c>
      <c r="M27" s="25" t="inlineStr">
        <is>
          <t>v1.0</t>
        </is>
      </c>
      <c r="N27" s="24" t="inlineStr"/>
    </row>
    <row r="28">
      <c r="A28" s="23" t="inlineStr">
        <is>
          <t>habit_records</t>
        </is>
      </c>
      <c r="B28" s="24" t="inlineStr">
        <is>
          <t>실천 기록</t>
        </is>
      </c>
      <c r="C28" s="24" t="inlineStr">
        <is>
          <t>goal_id</t>
        </is>
      </c>
      <c r="D28" s="24" t="inlineStr">
        <is>
          <t>목표 ID</t>
        </is>
      </c>
      <c r="E28" s="24" t="inlineStr">
        <is>
          <t>bigint</t>
        </is>
      </c>
      <c r="F28" s="25" t="inlineStr">
        <is>
          <t>FK</t>
        </is>
      </c>
      <c r="G28" s="24" t="inlineStr">
        <is>
          <t>habit_goals.id</t>
        </is>
      </c>
      <c r="H28" s="25" t="inlineStr">
        <is>
          <t>Y</t>
        </is>
      </c>
      <c r="I28" s="24" t="inlineStr"/>
      <c r="J28" s="24" t="inlineStr"/>
      <c r="K28" s="24" t="inlineStr">
        <is>
          <t>RW-03 · RW-04 · P-4 · P-5</t>
        </is>
      </c>
      <c r="L28" s="25" t="inlineStr">
        <is>
          <t>신규</t>
        </is>
      </c>
      <c r="M28" s="25" t="inlineStr">
        <is>
          <t>v1.0</t>
        </is>
      </c>
      <c r="N28" s="24" t="inlineStr"/>
    </row>
    <row r="29">
      <c r="A29" s="23" t="inlineStr">
        <is>
          <t>habit_records</t>
        </is>
      </c>
      <c r="B29" s="24" t="inlineStr">
        <is>
          <t>실천 기록</t>
        </is>
      </c>
      <c r="C29" s="24" t="inlineStr">
        <is>
          <t>record_date</t>
        </is>
      </c>
      <c r="D29" s="24" t="inlineStr">
        <is>
          <t>기록일</t>
        </is>
      </c>
      <c r="E29" s="24" t="inlineStr">
        <is>
          <t>date</t>
        </is>
      </c>
      <c r="F29" s="25" t="inlineStr"/>
      <c r="G29" s="24" t="inlineStr"/>
      <c r="H29" s="25" t="inlineStr">
        <is>
          <t>Y</t>
        </is>
      </c>
      <c r="I29" s="24" t="inlineStr"/>
      <c r="J29" s="24" t="inlineStr"/>
      <c r="K29" s="24" t="inlineStr">
        <is>
          <t>RW-03 · RW-04 · P-4 · P-5</t>
        </is>
      </c>
      <c r="L29" s="25" t="inlineStr">
        <is>
          <t>신규</t>
        </is>
      </c>
      <c r="M29" s="25" t="inlineStr">
        <is>
          <t>v1.0</t>
        </is>
      </c>
      <c r="N29" s="24" t="inlineStr"/>
    </row>
    <row r="30">
      <c r="A30" s="23" t="inlineStr">
        <is>
          <t>habit_records</t>
        </is>
      </c>
      <c r="B30" s="24" t="inlineStr">
        <is>
          <t>실천 기록</t>
        </is>
      </c>
      <c r="C30" s="24" t="inlineStr">
        <is>
          <t>value</t>
        </is>
      </c>
      <c r="D30" s="24" t="inlineStr">
        <is>
          <t>기록 수치</t>
        </is>
      </c>
      <c r="E30" s="24" t="inlineStr">
        <is>
          <t>decimal(10,2)</t>
        </is>
      </c>
      <c r="F30" s="25" t="inlineStr"/>
      <c r="G30" s="24" t="inlineStr"/>
      <c r="H30" s="25" t="inlineStr">
        <is>
          <t>N</t>
        </is>
      </c>
      <c r="I30" s="24" t="inlineStr"/>
      <c r="J30" s="24" t="inlineStr">
        <is>
          <t>수량형 누적값</t>
        </is>
      </c>
      <c r="K30" s="24" t="inlineStr">
        <is>
          <t>RW-03 · RW-04 · P-4 · P-5</t>
        </is>
      </c>
      <c r="L30" s="25" t="inlineStr">
        <is>
          <t>신규</t>
        </is>
      </c>
      <c r="M30" s="25" t="inlineStr">
        <is>
          <t>v1.0</t>
        </is>
      </c>
      <c r="N30" s="24" t="inlineStr"/>
    </row>
    <row r="31">
      <c r="A31" s="23" t="inlineStr">
        <is>
          <t>habit_records</t>
        </is>
      </c>
      <c r="B31" s="24" t="inlineStr">
        <is>
          <t>실천 기록</t>
        </is>
      </c>
      <c r="C31" s="24" t="inlineStr">
        <is>
          <t>completed</t>
        </is>
      </c>
      <c r="D31" s="24" t="inlineStr">
        <is>
          <t>완료 여부</t>
        </is>
      </c>
      <c r="E31" s="24" t="inlineStr">
        <is>
          <t>boolean</t>
        </is>
      </c>
      <c r="F31" s="25" t="inlineStr"/>
      <c r="G31" s="24" t="inlineStr"/>
      <c r="H31" s="25" t="inlineStr">
        <is>
          <t>Y</t>
        </is>
      </c>
      <c r="I31" s="24" t="inlineStr">
        <is>
          <t>false</t>
        </is>
      </c>
      <c r="J31" s="24" t="inlineStr"/>
      <c r="K31" s="24" t="inlineStr">
        <is>
          <t>RW-03 · RW-04 · P-4 · P-5</t>
        </is>
      </c>
      <c r="L31" s="25" t="inlineStr">
        <is>
          <t>신규</t>
        </is>
      </c>
      <c r="M31" s="25" t="inlineStr">
        <is>
          <t>v1.0</t>
        </is>
      </c>
      <c r="N31" s="24" t="inlineStr"/>
    </row>
    <row r="32">
      <c r="A32" s="23" t="inlineStr">
        <is>
          <t>habit_records</t>
        </is>
      </c>
      <c r="B32" s="24" t="inlineStr">
        <is>
          <t>실천 기록</t>
        </is>
      </c>
      <c r="C32" s="24" t="inlineStr">
        <is>
          <t>created_at</t>
        </is>
      </c>
      <c r="D32" s="24" t="inlineStr">
        <is>
          <t>생성 일시</t>
        </is>
      </c>
      <c r="E32" s="24" t="inlineStr">
        <is>
          <t>timestamp</t>
        </is>
      </c>
      <c r="F32" s="25" t="inlineStr"/>
      <c r="G32" s="24" t="inlineStr"/>
      <c r="H32" s="25" t="inlineStr">
        <is>
          <t>N</t>
        </is>
      </c>
      <c r="I32" s="24" t="inlineStr">
        <is>
          <t>now()</t>
        </is>
      </c>
      <c r="J32" s="24" t="inlineStr"/>
      <c r="K32" s="24" t="inlineStr">
        <is>
          <t>RW-03 · RW-04 · P-4 · P-5</t>
        </is>
      </c>
      <c r="L32" s="25" t="inlineStr">
        <is>
          <t>신규</t>
        </is>
      </c>
      <c r="M32" s="25" t="inlineStr">
        <is>
          <t>v1.0</t>
        </is>
      </c>
      <c r="N32" s="24" t="inlineStr">
        <is>
          <t>인덱스: (goal_id, record_date) [unique, note: '같은 날 중복 완료 방지']</t>
        </is>
      </c>
    </row>
    <row r="33">
      <c r="A33" s="23" t="inlineStr">
        <is>
          <t>rewards</t>
        </is>
      </c>
      <c r="B33" s="24" t="inlineStr">
        <is>
          <t>포인트</t>
        </is>
      </c>
      <c r="C33" s="24" t="inlineStr">
        <is>
          <t>id</t>
        </is>
      </c>
      <c r="D33" s="24" t="inlineStr">
        <is>
          <t>ID</t>
        </is>
      </c>
      <c r="E33" s="24" t="inlineStr">
        <is>
          <t>bigint</t>
        </is>
      </c>
      <c r="F33" s="25" t="inlineStr">
        <is>
          <t>PK</t>
        </is>
      </c>
      <c r="G33" s="24" t="inlineStr"/>
      <c r="H33" s="25" t="inlineStr">
        <is>
          <t>Y</t>
        </is>
      </c>
      <c r="I33" s="24" t="inlineStr"/>
      <c r="J33" s="24" t="inlineStr"/>
      <c r="K33" s="24" t="inlineStr">
        <is>
          <t>RW-05 · RW-06 · P-6</t>
        </is>
      </c>
      <c r="L33" s="25" t="inlineStr">
        <is>
          <t>신규</t>
        </is>
      </c>
      <c r="M33" s="25" t="inlineStr">
        <is>
          <t>v1.0</t>
        </is>
      </c>
      <c r="N33" s="24" t="inlineStr"/>
    </row>
    <row r="34">
      <c r="A34" s="23" t="inlineStr">
        <is>
          <t>rewards</t>
        </is>
      </c>
      <c r="B34" s="24" t="inlineStr">
        <is>
          <t>포인트</t>
        </is>
      </c>
      <c r="C34" s="24" t="inlineStr">
        <is>
          <t>user_id</t>
        </is>
      </c>
      <c r="D34" s="24" t="inlineStr">
        <is>
          <t>사용자 ID</t>
        </is>
      </c>
      <c r="E34" s="24" t="inlineStr">
        <is>
          <t>bigint</t>
        </is>
      </c>
      <c r="F34" s="25" t="inlineStr">
        <is>
          <t>FK</t>
        </is>
      </c>
      <c r="G34" s="24" t="inlineStr">
        <is>
          <t>users.id</t>
        </is>
      </c>
      <c r="H34" s="25" t="inlineStr">
        <is>
          <t>Y</t>
        </is>
      </c>
      <c r="I34" s="24" t="inlineStr"/>
      <c r="J34" s="24" t="inlineStr"/>
      <c r="K34" s="24" t="inlineStr">
        <is>
          <t>RW-05 · RW-06 · P-6</t>
        </is>
      </c>
      <c r="L34" s="25" t="inlineStr">
        <is>
          <t>신규</t>
        </is>
      </c>
      <c r="M34" s="25" t="inlineStr">
        <is>
          <t>v1.0</t>
        </is>
      </c>
      <c r="N34" s="24" t="inlineStr"/>
    </row>
    <row r="35">
      <c r="A35" s="23" t="inlineStr">
        <is>
          <t>rewards</t>
        </is>
      </c>
      <c r="B35" s="24" t="inlineStr">
        <is>
          <t>포인트</t>
        </is>
      </c>
      <c r="C35" s="24" t="inlineStr">
        <is>
          <t>record_id</t>
        </is>
      </c>
      <c r="D35" s="24" t="inlineStr">
        <is>
          <t>실천 기록 ID</t>
        </is>
      </c>
      <c r="E35" s="24" t="inlineStr">
        <is>
          <t>bigint</t>
        </is>
      </c>
      <c r="F35" s="25" t="inlineStr">
        <is>
          <t>FK</t>
        </is>
      </c>
      <c r="G35" s="24" t="inlineStr">
        <is>
          <t>habit_records.id</t>
        </is>
      </c>
      <c r="H35" s="25" t="inlineStr">
        <is>
          <t>N</t>
        </is>
      </c>
      <c r="I35" s="24" t="inlineStr"/>
      <c r="J35" s="24" t="inlineStr">
        <is>
          <t>목표 완료 보상일 때 (all_done은 비움)</t>
        </is>
      </c>
      <c r="K35" s="24" t="inlineStr">
        <is>
          <t>RW-05 · RW-06 · P-6</t>
        </is>
      </c>
      <c r="L35" s="25" t="inlineStr">
        <is>
          <t>신규</t>
        </is>
      </c>
      <c r="M35" s="25" t="inlineStr">
        <is>
          <t>v1.3</t>
        </is>
      </c>
      <c r="N35" s="24" t="inlineStr"/>
    </row>
    <row r="36">
      <c r="A36" s="23" t="inlineStr">
        <is>
          <t>rewards</t>
        </is>
      </c>
      <c r="B36" s="24" t="inlineStr">
        <is>
          <t>포인트</t>
        </is>
      </c>
      <c r="C36" s="24" t="inlineStr">
        <is>
          <t>reward_type</t>
        </is>
      </c>
      <c r="D36" s="24" t="inlineStr">
        <is>
          <t>보상 종류</t>
        </is>
      </c>
      <c r="E36" s="24" t="inlineStr">
        <is>
          <t>varchar(20)</t>
        </is>
      </c>
      <c r="F36" s="25" t="inlineStr"/>
      <c r="G36" s="24" t="inlineStr"/>
      <c r="H36" s="25" t="inlineStr">
        <is>
          <t>Y</t>
        </is>
      </c>
      <c r="I36" s="24" t="inlineStr"/>
      <c r="J36" s="24" t="inlineStr">
        <is>
          <t>goal_done / all_done(하루 전체 완료 보너스)</t>
        </is>
      </c>
      <c r="K36" s="24" t="inlineStr">
        <is>
          <t>RW-05 · RW-06 · P-6</t>
        </is>
      </c>
      <c r="L36" s="25" t="inlineStr">
        <is>
          <t>신규</t>
        </is>
      </c>
      <c r="M36" s="25" t="inlineStr">
        <is>
          <t>v1.0</t>
        </is>
      </c>
      <c r="N36" s="24" t="inlineStr"/>
    </row>
    <row r="37">
      <c r="A37" s="23" t="inlineStr">
        <is>
          <t>rewards</t>
        </is>
      </c>
      <c r="B37" s="24" t="inlineStr">
        <is>
          <t>포인트</t>
        </is>
      </c>
      <c r="C37" s="24" t="inlineStr">
        <is>
          <t>points</t>
        </is>
      </c>
      <c r="D37" s="24" t="inlineStr">
        <is>
          <t>포인트</t>
        </is>
      </c>
      <c r="E37" s="24" t="inlineStr">
        <is>
          <t>int</t>
        </is>
      </c>
      <c r="F37" s="25" t="inlineStr"/>
      <c r="G37" s="24" t="inlineStr"/>
      <c r="H37" s="25" t="inlineStr">
        <is>
          <t>Y</t>
        </is>
      </c>
      <c r="I37" s="24" t="inlineStr"/>
      <c r="J37" s="24" t="inlineStr"/>
      <c r="K37" s="24" t="inlineStr">
        <is>
          <t>RW-05 · RW-06 · P-6</t>
        </is>
      </c>
      <c r="L37" s="25" t="inlineStr">
        <is>
          <t>신규</t>
        </is>
      </c>
      <c r="M37" s="25" t="inlineStr">
        <is>
          <t>v1.0</t>
        </is>
      </c>
      <c r="N37" s="24" t="inlineStr"/>
    </row>
    <row r="38">
      <c r="A38" s="23" t="inlineStr">
        <is>
          <t>rewards</t>
        </is>
      </c>
      <c r="B38" s="24" t="inlineStr">
        <is>
          <t>포인트</t>
        </is>
      </c>
      <c r="C38" s="24" t="inlineStr">
        <is>
          <t>reward_date</t>
        </is>
      </c>
      <c r="D38" s="24" t="inlineStr">
        <is>
          <t>지급일</t>
        </is>
      </c>
      <c r="E38" s="24" t="inlineStr">
        <is>
          <t>date</t>
        </is>
      </c>
      <c r="F38" s="25" t="inlineStr"/>
      <c r="G38" s="24" t="inlineStr"/>
      <c r="H38" s="25" t="inlineStr">
        <is>
          <t>Y</t>
        </is>
      </c>
      <c r="I38" s="24" t="inlineStr"/>
      <c r="J38" s="24" t="inlineStr"/>
      <c r="K38" s="24" t="inlineStr">
        <is>
          <t>RW-05 · RW-06 · P-6</t>
        </is>
      </c>
      <c r="L38" s="25" t="inlineStr">
        <is>
          <t>신규</t>
        </is>
      </c>
      <c r="M38" s="25" t="inlineStr">
        <is>
          <t>v1.0</t>
        </is>
      </c>
      <c r="N38" s="24" t="inlineStr"/>
    </row>
    <row r="39">
      <c r="A39" s="23" t="inlineStr">
        <is>
          <t>rewards</t>
        </is>
      </c>
      <c r="B39" s="24" t="inlineStr">
        <is>
          <t>포인트</t>
        </is>
      </c>
      <c r="C39" s="24" t="inlineStr">
        <is>
          <t>created_at</t>
        </is>
      </c>
      <c r="D39" s="24" t="inlineStr">
        <is>
          <t>생성 일시</t>
        </is>
      </c>
      <c r="E39" s="24" t="inlineStr">
        <is>
          <t>timestamp</t>
        </is>
      </c>
      <c r="F39" s="25" t="inlineStr"/>
      <c r="G39" s="24" t="inlineStr"/>
      <c r="H39" s="25" t="inlineStr">
        <is>
          <t>N</t>
        </is>
      </c>
      <c r="I39" s="24" t="inlineStr">
        <is>
          <t>now()</t>
        </is>
      </c>
      <c r="J39" s="24" t="inlineStr"/>
      <c r="K39" s="24" t="inlineStr">
        <is>
          <t>RW-05 · RW-06 · P-6</t>
        </is>
      </c>
      <c r="L39" s="25" t="inlineStr">
        <is>
          <t>신규</t>
        </is>
      </c>
      <c r="M39" s="25" t="inlineStr">
        <is>
          <t>v1.0</t>
        </is>
      </c>
      <c r="N39" s="24" t="inlineStr">
        <is>
          <t>인덱스: (user_id, reward_date, reward_type, record_id) [unique, NULLS NOT DISTINCT] — 중복 지급 방지 (REQ-113). record_id가 빈 all_done도 하루 1번만 (PostgreSQL 15+, Tortoise로 안 만들어져 마이그레이션에 SQL 직접)</t>
        </is>
      </c>
    </row>
  </sheetData>
  <autoFilter ref="A4:N39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v1.3 · 마스터</t>
        </is>
      </c>
    </row>
    <row r="2">
      <c r="A2" s="42" t="inlineStr">
        <is>
          <t>채연 · 공공데이터 사전 적재 (의약품 · DUR · 중복 · 질병 · 생활습관)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20" t="inlineStr">
        <is>
          <t>drug_products</t>
        </is>
      </c>
      <c r="B5" s="21" t="inlineStr">
        <is>
          <t>의약품 제품</t>
        </is>
      </c>
      <c r="C5" s="21" t="inlineStr">
        <is>
          <t>edi_code</t>
        </is>
      </c>
      <c r="D5" s="21" t="inlineStr">
        <is>
          <t>EDI 제품코드</t>
        </is>
      </c>
      <c r="E5" s="21" t="inlineStr">
        <is>
          <t>varchar(9)</t>
        </is>
      </c>
      <c r="F5" s="22" t="inlineStr">
        <is>
          <t>PK</t>
        </is>
      </c>
      <c r="G5" s="21" t="n"/>
      <c r="H5" s="22" t="inlineStr">
        <is>
          <t>Y</t>
        </is>
      </c>
      <c r="I5" s="21" t="n"/>
      <c r="J5" s="21" t="inlineStr">
        <is>
          <t>심평원 제품코드 = 식약처 EDI_CODE (허가정보를 넣을 때 item_seq를 채우는 열쇠)</t>
        </is>
      </c>
      <c r="K5" s="21" t="inlineStr">
        <is>
          <t>O-3 · O-4</t>
        </is>
      </c>
      <c r="L5" s="22" t="inlineStr">
        <is>
          <t>수정</t>
        </is>
      </c>
      <c r="M5" s="22" t="inlineStr">
        <is>
          <t>v1.3</t>
        </is>
      </c>
      <c r="N5" s="21" t="inlineStr">
        <is>
          <t>약제급여목록 22,045품목 (2026.9.1.). 규격 · 단위는 포장 단위(예: 1 · 정)라 복용 총량 계산에는 제품명의 함량(예: "_(3.39mg/1정)")을 씀</t>
        </is>
      </c>
    </row>
    <row r="6">
      <c r="A6" s="19" t="inlineStr">
        <is>
          <t>drug_products</t>
        </is>
      </c>
      <c r="B6" s="15" t="inlineStr">
        <is>
          <t>의약품 제품</t>
        </is>
      </c>
      <c r="C6" s="15" t="inlineStr">
        <is>
          <t>item_seq</t>
        </is>
      </c>
      <c r="D6" s="15" t="inlineStr">
        <is>
          <t>품목기준코드</t>
        </is>
      </c>
      <c r="E6" s="15" t="inlineStr">
        <is>
          <t>varchar(9)</t>
        </is>
      </c>
      <c r="F6" s="16" t="inlineStr">
        <is>
          <t>FK</t>
        </is>
      </c>
      <c r="G6" s="15" t="inlineStr">
        <is>
          <t>drug_details.item_seq</t>
        </is>
      </c>
      <c r="H6" s="16" t="inlineStr">
        <is>
          <t>N</t>
        </is>
      </c>
      <c r="I6" s="15" t="n"/>
      <c r="J6" s="15" t="inlineStr">
        <is>
          <t>식약처 품목기준코드 — 허가정보와 잇는 칸. 한 허가 품목에 EDI 제품이 여러 개일 수 있음</t>
        </is>
      </c>
      <c r="K6" s="15" t="inlineStr">
        <is>
          <t>O-3 · O-4</t>
        </is>
      </c>
      <c r="L6" s="16" t="inlineStr">
        <is>
          <t>수정</t>
        </is>
      </c>
      <c r="M6" s="16" t="inlineStr">
        <is>
          <t>v1.3</t>
        </is>
      </c>
      <c r="N6" s="15" t="n"/>
    </row>
    <row r="7">
      <c r="A7" s="19" t="inlineStr">
        <is>
          <t>drug_products</t>
        </is>
      </c>
      <c r="B7" s="15" t="inlineStr">
        <is>
          <t>의약품 제품</t>
        </is>
      </c>
      <c r="C7" s="15" t="inlineStr">
        <is>
          <t>item_name</t>
        </is>
      </c>
      <c r="D7" s="15" t="inlineStr">
        <is>
          <t>제품명</t>
        </is>
      </c>
      <c r="E7" s="15" t="inlineStr">
        <is>
          <t>varchar(300)</t>
        </is>
      </c>
      <c r="F7" s="16" t="n"/>
      <c r="G7" s="15" t="n"/>
      <c r="H7" s="16" t="inlineStr">
        <is>
          <t>Y</t>
        </is>
      </c>
      <c r="I7" s="15" t="n"/>
      <c r="J7" s="15" t="n"/>
      <c r="K7" s="15" t="inlineStr">
        <is>
          <t>O-3 · O-4</t>
        </is>
      </c>
      <c r="L7" s="16" t="inlineStr">
        <is>
          <t>기존</t>
        </is>
      </c>
      <c r="M7" s="16" t="inlineStr">
        <is>
          <t>v0.1</t>
        </is>
      </c>
      <c r="N7" s="15" t="n"/>
    </row>
    <row r="8">
      <c r="A8" s="19" t="inlineStr">
        <is>
          <t>drug_products</t>
        </is>
      </c>
      <c r="B8" s="15" t="inlineStr">
        <is>
          <t>의약품 제품</t>
        </is>
      </c>
      <c r="C8" s="15" t="inlineStr">
        <is>
          <t>item_name_norm</t>
        </is>
      </c>
      <c r="D8" s="15" t="inlineStr">
        <is>
          <t>정규화 제품명</t>
        </is>
      </c>
      <c r="E8" s="15" t="inlineStr">
        <is>
          <t>varchar(300)</t>
        </is>
      </c>
      <c r="F8" s="16" t="n"/>
      <c r="G8" s="15" t="n"/>
      <c r="H8" s="16" t="inlineStr">
        <is>
          <t>N</t>
        </is>
      </c>
      <c r="I8" s="15" t="n"/>
      <c r="J8" s="15" t="inlineStr">
        <is>
          <t>정규화된 이름 (괄호·규격 제거) — 매칭용 인덱스</t>
        </is>
      </c>
      <c r="K8" s="15" t="inlineStr">
        <is>
          <t>O-3 · O-4</t>
        </is>
      </c>
      <c r="L8" s="16" t="inlineStr">
        <is>
          <t>기존</t>
        </is>
      </c>
      <c r="M8" s="16" t="inlineStr">
        <is>
          <t>v0.1</t>
        </is>
      </c>
      <c r="N8" s="15" t="n"/>
    </row>
    <row r="9">
      <c r="A9" s="19" t="inlineStr">
        <is>
          <t>drug_products</t>
        </is>
      </c>
      <c r="B9" s="15" t="inlineStr">
        <is>
          <t>의약품 제품</t>
        </is>
      </c>
      <c r="C9" s="15" t="inlineStr">
        <is>
          <t>entp_name</t>
        </is>
      </c>
      <c r="D9" s="15" t="inlineStr">
        <is>
          <t>업체명</t>
        </is>
      </c>
      <c r="E9" s="15" t="inlineStr">
        <is>
          <t>varchar(200)</t>
        </is>
      </c>
      <c r="F9" s="16" t="n"/>
      <c r="G9" s="15" t="n"/>
      <c r="H9" s="16" t="inlineStr">
        <is>
          <t>N</t>
        </is>
      </c>
      <c r="I9" s="15" t="n"/>
      <c r="J9" s="15" t="n"/>
      <c r="K9" s="15" t="inlineStr">
        <is>
          <t>O-3 · O-4</t>
        </is>
      </c>
      <c r="L9" s="16" t="inlineStr">
        <is>
          <t>기존</t>
        </is>
      </c>
      <c r="M9" s="16" t="inlineStr">
        <is>
          <t>v0.1</t>
        </is>
      </c>
      <c r="N9" s="15" t="n"/>
    </row>
    <row r="10">
      <c r="A10" s="19" t="inlineStr">
        <is>
          <t>drug_products</t>
        </is>
      </c>
      <c r="B10" s="15" t="inlineStr">
        <is>
          <t>의약품 제품</t>
        </is>
      </c>
      <c r="C10" s="15" t="inlineStr">
        <is>
          <t>ingr_code</t>
        </is>
      </c>
      <c r="D10" s="15" t="inlineStr">
        <is>
          <t>성분 코드</t>
        </is>
      </c>
      <c r="E10" s="15" t="inlineStr">
        <is>
          <t>varchar(9)</t>
        </is>
      </c>
      <c r="F10" s="16" t="inlineStr">
        <is>
          <t>FK</t>
        </is>
      </c>
      <c r="G10" s="15" t="inlineStr">
        <is>
          <t>drug_ingredients.ingr_code</t>
        </is>
      </c>
      <c r="H10" s="16" t="inlineStr">
        <is>
          <t>N</t>
        </is>
      </c>
      <c r="I10" s="15" t="n"/>
      <c r="J10" s="15" t="inlineStr">
        <is>
          <t>심평원 주성분코드</t>
        </is>
      </c>
      <c r="K10" s="15" t="inlineStr">
        <is>
          <t>O-3 · O-4</t>
        </is>
      </c>
      <c r="L10" s="16" t="inlineStr">
        <is>
          <t>기존</t>
        </is>
      </c>
      <c r="M10" s="16" t="inlineStr">
        <is>
          <t>v0.1</t>
        </is>
      </c>
      <c r="N10" s="15" t="n"/>
    </row>
    <row r="11">
      <c r="A11" s="19" t="inlineStr">
        <is>
          <t>drug_products</t>
        </is>
      </c>
      <c r="B11" s="15" t="inlineStr">
        <is>
          <t>의약품 제품</t>
        </is>
      </c>
      <c r="C11" s="15" t="inlineStr">
        <is>
          <t>ingr_group</t>
        </is>
      </c>
      <c r="D11" s="15" t="inlineStr">
        <is>
          <t>동일성분 그룹</t>
        </is>
      </c>
      <c r="E11" s="15" t="inlineStr">
        <is>
          <t>varchar(9)</t>
        </is>
      </c>
      <c r="F11" s="16" t="n"/>
      <c r="G11" s="15" t="n"/>
      <c r="H11" s="16" t="inlineStr">
        <is>
          <t>N</t>
        </is>
      </c>
      <c r="I11" s="15" t="n"/>
      <c r="J11" s="15" t="inlineStr">
        <is>
          <t>주성분코드_동일제형 — 제형 무관 동일성분 그룹</t>
        </is>
      </c>
      <c r="K11" s="15" t="inlineStr">
        <is>
          <t>O-3 · O-4</t>
        </is>
      </c>
      <c r="L11" s="16" t="inlineStr">
        <is>
          <t>기존</t>
        </is>
      </c>
      <c r="M11" s="16" t="inlineStr">
        <is>
          <t>v0.1</t>
        </is>
      </c>
      <c r="N11" s="15" t="n"/>
    </row>
    <row r="12">
      <c r="A12" s="19" t="inlineStr">
        <is>
          <t>drug_products</t>
        </is>
      </c>
      <c r="B12" s="15" t="inlineStr">
        <is>
          <t>의약품 제품</t>
        </is>
      </c>
      <c r="C12" s="15" t="inlineStr">
        <is>
          <t>etc_otc</t>
        </is>
      </c>
      <c r="D12" s="15" t="inlineStr">
        <is>
          <t>전문/일반</t>
        </is>
      </c>
      <c r="E12" s="15" t="inlineStr">
        <is>
          <t>varchar(10)</t>
        </is>
      </c>
      <c r="F12" s="16" t="n"/>
      <c r="G12" s="15" t="n"/>
      <c r="H12" s="16" t="inlineStr">
        <is>
          <t>N</t>
        </is>
      </c>
      <c r="I12" s="15" t="n"/>
      <c r="J12" s="15" t="inlineStr">
        <is>
          <t>전문 / 일반</t>
        </is>
      </c>
      <c r="K12" s="15" t="inlineStr">
        <is>
          <t>O-3 · O-4</t>
        </is>
      </c>
      <c r="L12" s="16" t="inlineStr">
        <is>
          <t>기존</t>
        </is>
      </c>
      <c r="M12" s="16" t="inlineStr">
        <is>
          <t>v0.1</t>
        </is>
      </c>
      <c r="N12" s="15" t="n"/>
    </row>
    <row r="13">
      <c r="A13" s="19" t="inlineStr">
        <is>
          <t>drug_products</t>
        </is>
      </c>
      <c r="B13" s="15" t="inlineStr">
        <is>
          <t>의약품 제품</t>
        </is>
      </c>
      <c r="C13" s="15" t="inlineStr">
        <is>
          <t>class_code</t>
        </is>
      </c>
      <c r="D13" s="15" t="inlineStr">
        <is>
          <t>약효분류</t>
        </is>
      </c>
      <c r="E13" s="15" t="inlineStr">
        <is>
          <t>varchar(10)</t>
        </is>
      </c>
      <c r="F13" s="16" t="n"/>
      <c r="G13" s="15" t="n"/>
      <c r="H13" s="16" t="inlineStr">
        <is>
          <t>N</t>
        </is>
      </c>
      <c r="I13" s="15" t="n"/>
      <c r="J13" s="15" t="inlineStr">
        <is>
          <t>약효분류</t>
        </is>
      </c>
      <c r="K13" s="15" t="inlineStr">
        <is>
          <t>O-3 · O-4</t>
        </is>
      </c>
      <c r="L13" s="16" t="inlineStr">
        <is>
          <t>기존</t>
        </is>
      </c>
      <c r="M13" s="16" t="inlineStr">
        <is>
          <t>v0.1</t>
        </is>
      </c>
      <c r="N13" s="15" t="n"/>
    </row>
    <row r="14">
      <c r="A14" s="20" t="inlineStr">
        <is>
          <t>drug_products</t>
        </is>
      </c>
      <c r="B14" s="21" t="inlineStr">
        <is>
          <t>의약품 제품</t>
        </is>
      </c>
      <c r="C14" s="21" t="inlineStr">
        <is>
          <t>spec_value</t>
        </is>
      </c>
      <c r="D14" s="21" t="inlineStr">
        <is>
          <t>규격</t>
        </is>
      </c>
      <c r="E14" s="21" t="inlineStr">
        <is>
          <t>decimal(12,3)</t>
        </is>
      </c>
      <c r="F14" s="22" t="n"/>
      <c r="G14" s="21" t="n"/>
      <c r="H14" s="22" t="inlineStr">
        <is>
          <t>N</t>
        </is>
      </c>
      <c r="I14" s="21" t="n"/>
      <c r="J14" s="21" t="inlineStr">
        <is>
          <t>포장 규격 숫자 (예: 1, 95(1) → 95) — 성분 함량 아님</t>
        </is>
      </c>
      <c r="K14" s="21" t="inlineStr">
        <is>
          <t>O-3 · O-4</t>
        </is>
      </c>
      <c r="L14" s="22" t="inlineStr">
        <is>
          <t>수정</t>
        </is>
      </c>
      <c r="M14" s="22" t="inlineStr">
        <is>
          <t>v1.3</t>
        </is>
      </c>
      <c r="N14" s="21" t="n"/>
    </row>
    <row r="15">
      <c r="A15" s="20" t="inlineStr">
        <is>
          <t>drug_products</t>
        </is>
      </c>
      <c r="B15" s="21" t="inlineStr">
        <is>
          <t>의약품 제품</t>
        </is>
      </c>
      <c r="C15" s="21" t="inlineStr">
        <is>
          <t>spec_unit</t>
        </is>
      </c>
      <c r="D15" s="21" t="inlineStr">
        <is>
          <t>규격 단위</t>
        </is>
      </c>
      <c r="E15" s="21" t="inlineStr">
        <is>
          <t>varchar(30)</t>
        </is>
      </c>
      <c r="F15" s="22" t="n"/>
      <c r="G15" s="21" t="n"/>
      <c r="H15" s="22" t="inlineStr">
        <is>
          <t>N</t>
        </is>
      </c>
      <c r="I15" s="21" t="n"/>
      <c r="J15" s="21" t="inlineStr">
        <is>
          <t>포장 단위 (예: 정, mL/병)</t>
        </is>
      </c>
      <c r="K15" s="21" t="inlineStr">
        <is>
          <t>O-3 · O-4</t>
        </is>
      </c>
      <c r="L15" s="22" t="inlineStr">
        <is>
          <t>수정</t>
        </is>
      </c>
      <c r="M15" s="22" t="inlineStr">
        <is>
          <t>v1.3</t>
        </is>
      </c>
      <c r="N15" s="21" t="n"/>
    </row>
    <row r="16">
      <c r="A16" s="19" t="inlineStr">
        <is>
          <t>drug_products</t>
        </is>
      </c>
      <c r="B16" s="15" t="inlineStr">
        <is>
          <t>의약품 제품</t>
        </is>
      </c>
      <c r="C16" s="15" t="inlineStr">
        <is>
          <t>price</t>
        </is>
      </c>
      <c r="D16" s="15" t="inlineStr">
        <is>
          <t>급여 상한금액</t>
        </is>
      </c>
      <c r="E16" s="15" t="inlineStr">
        <is>
          <t>int</t>
        </is>
      </c>
      <c r="F16" s="16" t="n"/>
      <c r="G16" s="15" t="n"/>
      <c r="H16" s="16" t="inlineStr">
        <is>
          <t>N</t>
        </is>
      </c>
      <c r="I16" s="15" t="n"/>
      <c r="J16" s="15" t="inlineStr">
        <is>
          <t>급여 상한금액</t>
        </is>
      </c>
      <c r="K16" s="15" t="inlineStr">
        <is>
          <t>O-3 · O-4</t>
        </is>
      </c>
      <c r="L16" s="16" t="inlineStr">
        <is>
          <t>기존</t>
        </is>
      </c>
      <c r="M16" s="16" t="inlineStr">
        <is>
          <t>v0.1</t>
        </is>
      </c>
      <c r="N16" s="15" t="n"/>
    </row>
    <row r="17">
      <c r="A17" s="19" t="inlineStr">
        <is>
          <t>drug_products</t>
        </is>
      </c>
      <c r="B17" s="15" t="inlineStr">
        <is>
          <t>의약품 제품</t>
        </is>
      </c>
      <c r="C17" s="15" t="inlineStr">
        <is>
          <t>route</t>
        </is>
      </c>
      <c r="D17" s="15" t="inlineStr">
        <is>
          <t>투여 경로</t>
        </is>
      </c>
      <c r="E17" s="15" t="inlineStr">
        <is>
          <t>varchar(10)</t>
        </is>
      </c>
      <c r="F17" s="16" t="n"/>
      <c r="G17" s="15" t="n"/>
      <c r="H17" s="16" t="inlineStr">
        <is>
          <t>N</t>
        </is>
      </c>
      <c r="I17" s="15" t="n"/>
      <c r="J17" s="15" t="inlineStr">
        <is>
          <t>내복 / 주사 / 외용</t>
        </is>
      </c>
      <c r="K17" s="15" t="inlineStr">
        <is>
          <t>O-3 · O-4</t>
        </is>
      </c>
      <c r="L17" s="16" t="inlineStr">
        <is>
          <t>기존</t>
        </is>
      </c>
      <c r="M17" s="16" t="inlineStr">
        <is>
          <t>v0.1</t>
        </is>
      </c>
      <c r="N17" s="15" t="n"/>
    </row>
    <row r="18">
      <c r="A18" s="19" t="inlineStr">
        <is>
          <t>drug_ingredients</t>
        </is>
      </c>
      <c r="B18" s="15" t="inlineStr">
        <is>
          <t>의약품 성분</t>
        </is>
      </c>
      <c r="C18" s="15" t="inlineStr">
        <is>
          <t>ingr_code</t>
        </is>
      </c>
      <c r="D18" s="15" t="inlineStr">
        <is>
          <t>성분 코드</t>
        </is>
      </c>
      <c r="E18" s="15" t="inlineStr">
        <is>
          <t>varchar(9)</t>
        </is>
      </c>
      <c r="F18" s="16" t="inlineStr">
        <is>
          <t>PK</t>
        </is>
      </c>
      <c r="G18" s="15" t="n"/>
      <c r="H18" s="16" t="inlineStr">
        <is>
          <t>Y</t>
        </is>
      </c>
      <c r="I18" s="15" t="n"/>
      <c r="J18" s="15" t="inlineStr">
        <is>
          <t>앞6=성분, 뒤3=제형 (ATB정제 ACH캡슐 BIJ주사)</t>
        </is>
      </c>
      <c r="K18" s="15" t="inlineStr">
        <is>
          <t>—</t>
        </is>
      </c>
      <c r="L18" s="16" t="inlineStr">
        <is>
          <t>기존</t>
        </is>
      </c>
      <c r="M18" s="16" t="inlineStr">
        <is>
          <t>v0.1</t>
        </is>
      </c>
      <c r="N18" s="15" t="n"/>
    </row>
    <row r="19">
      <c r="A19" s="19" t="inlineStr">
        <is>
          <t>drug_ingredients</t>
        </is>
      </c>
      <c r="B19" s="15" t="inlineStr">
        <is>
          <t>의약품 성분</t>
        </is>
      </c>
      <c r="C19" s="15" t="inlineStr">
        <is>
          <t>ingr_name</t>
        </is>
      </c>
      <c r="D19" s="15" t="inlineStr">
        <is>
          <t>성분명 (영문)</t>
        </is>
      </c>
      <c r="E19" s="15" t="inlineStr">
        <is>
          <t>varchar(300)</t>
        </is>
      </c>
      <c r="F19" s="16" t="n"/>
      <c r="G19" s="15" t="n"/>
      <c r="H19" s="16" t="inlineStr">
        <is>
          <t>N</t>
        </is>
      </c>
      <c r="I19" s="15" t="n"/>
      <c r="J19" s="15" t="inlineStr">
        <is>
          <t>영문 성분명</t>
        </is>
      </c>
      <c r="K19" s="15" t="inlineStr">
        <is>
          <t>—</t>
        </is>
      </c>
      <c r="L19" s="16" t="inlineStr">
        <is>
          <t>기존</t>
        </is>
      </c>
      <c r="M19" s="16" t="inlineStr">
        <is>
          <t>v0.1</t>
        </is>
      </c>
      <c r="N19" s="15" t="n"/>
    </row>
    <row r="20">
      <c r="A20" s="19" t="inlineStr">
        <is>
          <t>drug_ingredients</t>
        </is>
      </c>
      <c r="B20" s="15" t="inlineStr">
        <is>
          <t>의약품 성분</t>
        </is>
      </c>
      <c r="C20" s="15" t="inlineStr">
        <is>
          <t>ingr_name_kr</t>
        </is>
      </c>
      <c r="D20" s="15" t="inlineStr">
        <is>
          <t>성분명 (한글)</t>
        </is>
      </c>
      <c r="E20" s="15" t="inlineStr">
        <is>
          <t>varchar(300)</t>
        </is>
      </c>
      <c r="F20" s="16" t="n"/>
      <c r="G20" s="15" t="n"/>
      <c r="H20" s="16" t="inlineStr">
        <is>
          <t>N</t>
        </is>
      </c>
      <c r="I20" s="15" t="n"/>
      <c r="J20" s="15" t="n"/>
      <c r="K20" s="15" t="inlineStr">
        <is>
          <t>—</t>
        </is>
      </c>
      <c r="L20" s="16" t="inlineStr">
        <is>
          <t>기존</t>
        </is>
      </c>
      <c r="M20" s="16" t="inlineStr">
        <is>
          <t>v0.1</t>
        </is>
      </c>
      <c r="N20" s="15" t="n"/>
    </row>
    <row r="21">
      <c r="A21" s="19" t="inlineStr">
        <is>
          <t>drug_details</t>
        </is>
      </c>
      <c r="B21" s="15" t="inlineStr">
        <is>
          <t>의약품 상세 (허가정보)</t>
        </is>
      </c>
      <c r="C21" s="15" t="inlineStr">
        <is>
          <t>item_seq</t>
        </is>
      </c>
      <c r="D21" s="15" t="inlineStr">
        <is>
          <t>품목기준코드</t>
        </is>
      </c>
      <c r="E21" s="15" t="inlineStr">
        <is>
          <t>varchar(9)</t>
        </is>
      </c>
      <c r="F21" s="16" t="inlineStr">
        <is>
          <t>PK</t>
        </is>
      </c>
      <c r="G21" s="15" t="n"/>
      <c r="H21" s="16" t="inlineStr">
        <is>
          <t>Y</t>
        </is>
      </c>
      <c r="I21" s="15" t="n"/>
      <c r="J21" s="15" t="inlineStr">
        <is>
          <t>식약처 품목기준코드 — 허가 품목 1개 = 1행 (EDI 제품코드 기준이 아님)</t>
        </is>
      </c>
      <c r="K21" s="15" t="inlineStr">
        <is>
          <t>R-4 (RAG 검색)</t>
        </is>
      </c>
      <c r="L21" s="16" t="inlineStr">
        <is>
          <t>수정</t>
        </is>
      </c>
      <c r="M21" s="16" t="inlineStr">
        <is>
          <t>v1.3</t>
        </is>
      </c>
      <c r="N21" s="15" t="inlineStr">
        <is>
          <t>XML 파싱 시 &lt;ARTICLE title="..."&gt; 속성과 CDATA 양쪽에서 내용 추출 필요. 허가정보는 EDI 코드가 없는 품목이 많고(10/2에 받은 42,707건 중 허가가 살아 있는 35,194건 가운데 14,436건) 한 품목에 EDI 코드가 여러 개인 경우도 있어서(858건) item_seq를 키로 씀. 허가 취소 품목은 뺌</t>
        </is>
      </c>
    </row>
    <row r="22">
      <c r="A22" t="inlineStr">
        <is>
          <t>drug_details</t>
        </is>
      </c>
      <c r="B22" t="inlineStr">
        <is>
          <t>의약품 상세 (허가정보)</t>
        </is>
      </c>
      <c r="C22" t="inlineStr">
        <is>
          <t>item_name</t>
        </is>
      </c>
      <c r="D22" t="inlineStr">
        <is>
          <t>제품명</t>
        </is>
      </c>
      <c r="E22" t="inlineStr">
        <is>
          <t>varchar(300)</t>
        </is>
      </c>
      <c r="H22" t="inlineStr">
        <is>
          <t>Y</t>
        </is>
      </c>
      <c r="J22" t="inlineStr">
        <is>
          <t>허가 제품명 — 급여목록에 없는 약의 이름 맞추기 · 표시용 (O-4)</t>
        </is>
      </c>
      <c r="K22" t="inlineStr">
        <is>
          <t>O-4 · R-4 (RAG 검색)</t>
        </is>
      </c>
      <c r="L22" t="inlineStr">
        <is>
          <t>신규</t>
        </is>
      </c>
      <c r="M22" t="inlineStr">
        <is>
          <t>v1.3</t>
        </is>
      </c>
    </row>
    <row r="23">
      <c r="A23" t="inlineStr">
        <is>
          <t>drug_details</t>
        </is>
      </c>
      <c r="B23" t="inlineStr">
        <is>
          <t>의약품 상세 (허가정보)</t>
        </is>
      </c>
      <c r="C23" t="inlineStr">
        <is>
          <t>item_name_norm</t>
        </is>
      </c>
      <c r="D23" t="inlineStr">
        <is>
          <t>정규화 제품명</t>
        </is>
      </c>
      <c r="E23" t="inlineStr">
        <is>
          <t>varchar(300)</t>
        </is>
      </c>
      <c r="H23" t="inlineStr">
        <is>
          <t>N</t>
        </is>
      </c>
      <c r="J23" t="inlineStr">
        <is>
          <t>정규화된 이름 (drug_products와 같은 함수) — 매칭용 인덱스</t>
        </is>
      </c>
      <c r="K23" t="inlineStr">
        <is>
          <t>O-4 · R-4 (RAG 검색)</t>
        </is>
      </c>
      <c r="L23" t="inlineStr">
        <is>
          <t>신규</t>
        </is>
      </c>
      <c r="M23" t="inlineStr">
        <is>
          <t>v1.3</t>
        </is>
      </c>
    </row>
    <row r="24">
      <c r="A24" t="inlineStr">
        <is>
          <t>drug_details</t>
        </is>
      </c>
      <c r="B24" t="inlineStr">
        <is>
          <t>의약품 상세 (허가정보)</t>
        </is>
      </c>
      <c r="C24" t="inlineStr">
        <is>
          <t>entp_name</t>
        </is>
      </c>
      <c r="D24" t="inlineStr">
        <is>
          <t>업체명</t>
        </is>
      </c>
      <c r="E24" t="inlineStr">
        <is>
          <t>varchar(200)</t>
        </is>
      </c>
      <c r="H24" t="inlineStr">
        <is>
          <t>N</t>
        </is>
      </c>
      <c r="K24" t="inlineStr">
        <is>
          <t>O-4 · R-4 (RAG 검색)</t>
        </is>
      </c>
      <c r="L24" t="inlineStr">
        <is>
          <t>신규</t>
        </is>
      </c>
      <c r="M24" t="inlineStr">
        <is>
          <t>v1.3</t>
        </is>
      </c>
    </row>
    <row r="25">
      <c r="A25" t="inlineStr">
        <is>
          <t>drug_details</t>
        </is>
      </c>
      <c r="B25" t="inlineStr">
        <is>
          <t>의약품 상세 (허가정보)</t>
        </is>
      </c>
      <c r="C25" t="inlineStr">
        <is>
          <t>etc_otc</t>
        </is>
      </c>
      <c r="D25" t="inlineStr">
        <is>
          <t>전문 · 일반 구분</t>
        </is>
      </c>
      <c r="E25" t="inlineStr">
        <is>
          <t>varchar(10)</t>
        </is>
      </c>
      <c r="H25" t="inlineStr">
        <is>
          <t>N</t>
        </is>
      </c>
      <c r="J25" t="inlineStr">
        <is>
          <t>전문 / 일반</t>
        </is>
      </c>
      <c r="K25" t="inlineStr">
        <is>
          <t>O-4 · R-4 (RAG 검색)</t>
        </is>
      </c>
      <c r="L25" t="inlineStr">
        <is>
          <t>신규</t>
        </is>
      </c>
      <c r="M25" t="inlineStr">
        <is>
          <t>v1.3</t>
        </is>
      </c>
    </row>
    <row r="26">
      <c r="A26" s="19" t="inlineStr">
        <is>
          <t>drug_details</t>
        </is>
      </c>
      <c r="B26" s="15" t="inlineStr">
        <is>
          <t>의약품 상세 (허가정보)</t>
        </is>
      </c>
      <c r="C26" s="15" t="inlineStr">
        <is>
          <t>efficacy</t>
        </is>
      </c>
      <c r="D26" s="15" t="inlineStr">
        <is>
          <t>효능효과</t>
        </is>
      </c>
      <c r="E26" s="15" t="inlineStr">
        <is>
          <t>text</t>
        </is>
      </c>
      <c r="F26" s="16" t="n"/>
      <c r="G26" s="15" t="n"/>
      <c r="H26" s="16" t="inlineStr">
        <is>
          <t>N</t>
        </is>
      </c>
      <c r="I26" s="15" t="n"/>
      <c r="J26" s="15" t="inlineStr">
        <is>
          <t>효능효과 (식약처 EE_DOC_DATA 파싱)</t>
        </is>
      </c>
      <c r="K26" s="15" t="inlineStr">
        <is>
          <t>R-4 (RAG 검색)</t>
        </is>
      </c>
      <c r="L26" s="16" t="inlineStr">
        <is>
          <t>기존</t>
        </is>
      </c>
      <c r="M26" s="16" t="inlineStr">
        <is>
          <t>v0.1</t>
        </is>
      </c>
      <c r="N26" s="15" t="n"/>
    </row>
    <row r="27">
      <c r="A27" s="19" t="inlineStr">
        <is>
          <t>drug_details</t>
        </is>
      </c>
      <c r="B27" s="15" t="inlineStr">
        <is>
          <t>의약품 상세 (허가정보)</t>
        </is>
      </c>
      <c r="C27" s="15" t="inlineStr">
        <is>
          <t>usage_dose</t>
        </is>
      </c>
      <c r="D27" s="15" t="inlineStr">
        <is>
          <t>용법용량</t>
        </is>
      </c>
      <c r="E27" s="15" t="inlineStr">
        <is>
          <t>text</t>
        </is>
      </c>
      <c r="F27" s="16" t="n"/>
      <c r="G27" s="15" t="n"/>
      <c r="H27" s="16" t="inlineStr">
        <is>
          <t>N</t>
        </is>
      </c>
      <c r="I27" s="15" t="n"/>
      <c r="J27" s="15" t="inlineStr">
        <is>
          <t>용법용량 (UD_DOC_DATA)</t>
        </is>
      </c>
      <c r="K27" s="15" t="inlineStr">
        <is>
          <t>R-4 (RAG 검색)</t>
        </is>
      </c>
      <c r="L27" s="16" t="inlineStr">
        <is>
          <t>기존</t>
        </is>
      </c>
      <c r="M27" s="16" t="inlineStr">
        <is>
          <t>v0.1</t>
        </is>
      </c>
      <c r="N27" s="15" t="n"/>
    </row>
    <row r="28">
      <c r="A28" s="19" t="inlineStr">
        <is>
          <t>drug_details</t>
        </is>
      </c>
      <c r="B28" s="15" t="inlineStr">
        <is>
          <t>의약품 상세 (허가정보)</t>
        </is>
      </c>
      <c r="C28" s="15" t="inlineStr">
        <is>
          <t>precautions</t>
        </is>
      </c>
      <c r="D28" s="15" t="inlineStr">
        <is>
          <t>사용상 주의사항</t>
        </is>
      </c>
      <c r="E28" s="15" t="inlineStr">
        <is>
          <t>text</t>
        </is>
      </c>
      <c r="F28" s="16" t="n"/>
      <c r="G28" s="15" t="n"/>
      <c r="H28" s="16" t="inlineStr">
        <is>
          <t>N</t>
        </is>
      </c>
      <c r="I28" s="15" t="n"/>
      <c r="J28" s="15" t="inlineStr">
        <is>
          <t>사용상의주의사항 (NB_DOC_DATA)</t>
        </is>
      </c>
      <c r="K28" s="15" t="inlineStr">
        <is>
          <t>R-4 (RAG 검색)</t>
        </is>
      </c>
      <c r="L28" s="16" t="inlineStr">
        <is>
          <t>기존</t>
        </is>
      </c>
      <c r="M28" s="16" t="inlineStr">
        <is>
          <t>v0.1</t>
        </is>
      </c>
      <c r="N28" s="15" t="n"/>
    </row>
    <row r="29">
      <c r="A29" s="19" t="inlineStr">
        <is>
          <t>drug_details</t>
        </is>
      </c>
      <c r="B29" s="15" t="inlineStr">
        <is>
          <t>의약품 상세 (허가정보)</t>
        </is>
      </c>
      <c r="C29" s="15" t="inlineStr">
        <is>
          <t>storage</t>
        </is>
      </c>
      <c r="D29" s="15" t="inlineStr">
        <is>
          <t>보관법</t>
        </is>
      </c>
      <c r="E29" s="15" t="inlineStr">
        <is>
          <t>varchar(300)</t>
        </is>
      </c>
      <c r="F29" s="16" t="n"/>
      <c r="G29" s="15" t="n"/>
      <c r="H29" s="16" t="inlineStr">
        <is>
          <t>N</t>
        </is>
      </c>
      <c r="I29" s="15" t="n"/>
      <c r="J29" s="15" t="inlineStr">
        <is>
          <t>보관법</t>
        </is>
      </c>
      <c r="K29" s="15" t="inlineStr">
        <is>
          <t>R-4 (RAG 검색)</t>
        </is>
      </c>
      <c r="L29" s="16" t="inlineStr">
        <is>
          <t>기존</t>
        </is>
      </c>
      <c r="M29" s="16" t="inlineStr">
        <is>
          <t>v0.1</t>
        </is>
      </c>
      <c r="N29" s="15" t="n"/>
    </row>
    <row r="30">
      <c r="A30" s="19" t="inlineStr">
        <is>
          <t>drug_details</t>
        </is>
      </c>
      <c r="B30" s="15" t="inlineStr">
        <is>
          <t>의약품 상세 (허가정보)</t>
        </is>
      </c>
      <c r="C30" s="15" t="inlineStr">
        <is>
          <t>chart</t>
        </is>
      </c>
      <c r="D30" s="15" t="inlineStr">
        <is>
          <t>성상</t>
        </is>
      </c>
      <c r="E30" s="15" t="inlineStr">
        <is>
          <t>varchar(300)</t>
        </is>
      </c>
      <c r="F30" s="16" t="n"/>
      <c r="G30" s="15" t="n"/>
      <c r="H30" s="16" t="inlineStr">
        <is>
          <t>N</t>
        </is>
      </c>
      <c r="I30" s="15" t="n"/>
      <c r="J30" s="15" t="inlineStr">
        <is>
          <t>성상 — 낱알 식별에 활용 가능</t>
        </is>
      </c>
      <c r="K30" s="15" t="inlineStr">
        <is>
          <t>R-4 (RAG 검색)</t>
        </is>
      </c>
      <c r="L30" s="16" t="inlineStr">
        <is>
          <t>기존</t>
        </is>
      </c>
      <c r="M30" s="16" t="inlineStr">
        <is>
          <t>v0.1</t>
        </is>
      </c>
      <c r="N30" s="15" t="n"/>
    </row>
    <row r="31">
      <c r="A31" s="19" t="inlineStr">
        <is>
          <t>drug_details</t>
        </is>
      </c>
      <c r="B31" s="15" t="inlineStr">
        <is>
          <t>의약품 상세 (허가정보)</t>
        </is>
      </c>
      <c r="C31" s="15" t="inlineStr">
        <is>
          <t>embedding_id</t>
        </is>
      </c>
      <c r="D31" s="15" t="inlineStr">
        <is>
          <t>벡터DB 문서 ID</t>
        </is>
      </c>
      <c r="E31" s="15" t="inlineStr">
        <is>
          <t>varchar(100)</t>
        </is>
      </c>
      <c r="F31" s="16" t="n"/>
      <c r="G31" s="15" t="n"/>
      <c r="H31" s="16" t="inlineStr">
        <is>
          <t>N</t>
        </is>
      </c>
      <c r="I31" s="15" t="n"/>
      <c r="J31" s="15" t="inlineStr">
        <is>
          <t>벡터DB 문서 ID (RAG 검색용)</t>
        </is>
      </c>
      <c r="K31" s="15" t="inlineStr">
        <is>
          <t>R-4 (RAG 검색)</t>
        </is>
      </c>
      <c r="L31" s="16" t="inlineStr">
        <is>
          <t>기존</t>
        </is>
      </c>
      <c r="M31" s="16" t="inlineStr">
        <is>
          <t>v0.1</t>
        </is>
      </c>
      <c r="N31" s="15" t="n"/>
    </row>
    <row r="32">
      <c r="A32" s="19" t="inlineStr">
        <is>
          <t>dur_interaction</t>
        </is>
      </c>
      <c r="B32" s="15" t="inlineStr">
        <is>
          <t>DUR 병용금기</t>
        </is>
      </c>
      <c r="C32" s="15" t="inlineStr">
        <is>
          <t>ingr_code_a</t>
        </is>
      </c>
      <c r="D32" s="15" t="inlineStr">
        <is>
          <t>성분 코드 A</t>
        </is>
      </c>
      <c r="E32" s="15" t="inlineStr">
        <is>
          <t>varchar(9)</t>
        </is>
      </c>
      <c r="F32" s="16" t="inlineStr">
        <is>
          <t>PK</t>
        </is>
      </c>
      <c r="G32" s="15" t="n"/>
      <c r="H32" s="16" t="inlineStr">
        <is>
          <t>Y</t>
        </is>
      </c>
      <c r="I32" s="15" t="n"/>
      <c r="J32" s="15" t="inlineStr">
        <is>
          <t>정렬 후 저장 (A&lt;B) — 양방향 중복 제거</t>
        </is>
      </c>
      <c r="K32" s="15" t="inlineStr">
        <is>
          <t>R-4 · R-5</t>
        </is>
      </c>
      <c r="L32" s="16" t="inlineStr">
        <is>
          <t>기존</t>
        </is>
      </c>
      <c r="M32" s="16" t="inlineStr">
        <is>
          <t>v0.1</t>
        </is>
      </c>
      <c r="N32" s="15" t="inlineStr">
        <is>
          <t>m.db TBJBD43 기준 성분쌍 97,326건 (제품 단위 CSV 873,147행을 정규화)</t>
        </is>
      </c>
    </row>
    <row r="33">
      <c r="A33" s="19" t="inlineStr">
        <is>
          <t>dur_interaction</t>
        </is>
      </c>
      <c r="B33" s="15" t="inlineStr">
        <is>
          <t>DUR 병용금기</t>
        </is>
      </c>
      <c r="C33" s="15" t="inlineStr">
        <is>
          <t>ingr_code_b</t>
        </is>
      </c>
      <c r="D33" s="15" t="inlineStr">
        <is>
          <t>성분 코드 B</t>
        </is>
      </c>
      <c r="E33" s="15" t="inlineStr">
        <is>
          <t>varchar(9)</t>
        </is>
      </c>
      <c r="F33" s="16" t="inlineStr">
        <is>
          <t>PK</t>
        </is>
      </c>
      <c r="G33" s="15" t="n"/>
      <c r="H33" s="16" t="inlineStr">
        <is>
          <t>Y</t>
        </is>
      </c>
      <c r="I33" s="15" t="n"/>
      <c r="J33" s="15" t="n"/>
      <c r="K33" s="15" t="inlineStr">
        <is>
          <t>R-4 · R-5</t>
        </is>
      </c>
      <c r="L33" s="16" t="inlineStr">
        <is>
          <t>기존</t>
        </is>
      </c>
      <c r="M33" s="16" t="inlineStr">
        <is>
          <t>v0.1</t>
        </is>
      </c>
      <c r="N33" s="15" t="n"/>
    </row>
    <row r="34">
      <c r="A34" s="19" t="inlineStr">
        <is>
          <t>dur_interaction</t>
        </is>
      </c>
      <c r="B34" s="15" t="inlineStr">
        <is>
          <t>DUR 병용금기</t>
        </is>
      </c>
      <c r="C34" s="15" t="inlineStr">
        <is>
          <t>effective_from</t>
        </is>
      </c>
      <c r="D34" s="15" t="inlineStr">
        <is>
          <t>적용 시작일</t>
        </is>
      </c>
      <c r="E34" s="15" t="inlineStr">
        <is>
          <t>date</t>
        </is>
      </c>
      <c r="F34" s="16" t="n"/>
      <c r="G34" s="15" t="n"/>
      <c r="H34" s="16" t="inlineStr">
        <is>
          <t>N</t>
        </is>
      </c>
      <c r="I34" s="15" t="n"/>
      <c r="J34" s="15" t="n"/>
      <c r="K34" s="15" t="inlineStr">
        <is>
          <t>R-4 · R-5</t>
        </is>
      </c>
      <c r="L34" s="16" t="inlineStr">
        <is>
          <t>기존</t>
        </is>
      </c>
      <c r="M34" s="16" t="inlineStr">
        <is>
          <t>v0.1</t>
        </is>
      </c>
      <c r="N34" s="15" t="n"/>
    </row>
    <row r="35">
      <c r="A35" s="19" t="inlineStr">
        <is>
          <t>dur_interaction</t>
        </is>
      </c>
      <c r="B35" s="15" t="inlineStr">
        <is>
          <t>DUR 병용금기</t>
        </is>
      </c>
      <c r="C35" s="15" t="inlineStr">
        <is>
          <t>effective_to</t>
        </is>
      </c>
      <c r="D35" s="15" t="inlineStr">
        <is>
          <t>적용 종료일</t>
        </is>
      </c>
      <c r="E35" s="15" t="inlineStr">
        <is>
          <t>date</t>
        </is>
      </c>
      <c r="F35" s="16" t="n"/>
      <c r="G35" s="15" t="n"/>
      <c r="H35" s="16" t="inlineStr">
        <is>
          <t>N</t>
        </is>
      </c>
      <c r="I35" s="15" t="n"/>
      <c r="J35" s="15" t="inlineStr">
        <is>
          <t>99991231 = 현행</t>
        </is>
      </c>
      <c r="K35" s="15" t="inlineStr">
        <is>
          <t>R-4 · R-5</t>
        </is>
      </c>
      <c r="L35" s="16" t="inlineStr">
        <is>
          <t>기존</t>
        </is>
      </c>
      <c r="M35" s="16" t="inlineStr">
        <is>
          <t>v0.1</t>
        </is>
      </c>
      <c r="N35" s="15" t="n"/>
    </row>
    <row r="36">
      <c r="A36" s="19" t="inlineStr">
        <is>
          <t>dur_interaction</t>
        </is>
      </c>
      <c r="B36" s="15" t="inlineStr">
        <is>
          <t>DUR 병용금기</t>
        </is>
      </c>
      <c r="C36" s="15" t="inlineStr">
        <is>
          <t>reason</t>
        </is>
      </c>
      <c r="D36" s="15" t="inlineStr">
        <is>
          <t>사유</t>
        </is>
      </c>
      <c r="E36" s="15" t="inlineStr">
        <is>
          <t>text</t>
        </is>
      </c>
      <c r="F36" s="16" t="n"/>
      <c r="G36" s="15" t="n"/>
      <c r="H36" s="16" t="inlineStr">
        <is>
          <t>N</t>
        </is>
      </c>
      <c r="I36" s="15" t="n"/>
      <c r="J36" s="15" t="inlineStr">
        <is>
          <t>금기 사유 (DUR_SD_EFT)</t>
        </is>
      </c>
      <c r="K36" s="15" t="inlineStr">
        <is>
          <t>R-4 · R-5</t>
        </is>
      </c>
      <c r="L36" s="16" t="inlineStr">
        <is>
          <t>기존</t>
        </is>
      </c>
      <c r="M36" s="16" t="inlineStr">
        <is>
          <t>v0.1</t>
        </is>
      </c>
      <c r="N36" s="15" t="n"/>
    </row>
    <row r="37">
      <c r="A37" s="19" t="inlineStr">
        <is>
          <t>dur_interaction</t>
        </is>
      </c>
      <c r="B37" s="15" t="inlineStr">
        <is>
          <t>DUR 병용금기</t>
        </is>
      </c>
      <c r="C37" s="15" t="inlineStr">
        <is>
          <t>notice_date</t>
        </is>
      </c>
      <c r="D37" s="15" t="inlineStr">
        <is>
          <t>고시일</t>
        </is>
      </c>
      <c r="E37" s="15" t="inlineStr">
        <is>
          <t>date</t>
        </is>
      </c>
      <c r="F37" s="16" t="n"/>
      <c r="G37" s="15" t="n"/>
      <c r="H37" s="16" t="inlineStr">
        <is>
          <t>N</t>
        </is>
      </c>
      <c r="I37" s="15" t="n"/>
      <c r="J37" s="15" t="inlineStr">
        <is>
          <t>고시일자</t>
        </is>
      </c>
      <c r="K37" s="15" t="inlineStr">
        <is>
          <t>R-4 · R-5</t>
        </is>
      </c>
      <c r="L37" s="16" t="inlineStr">
        <is>
          <t>기존</t>
        </is>
      </c>
      <c r="M37" s="16" t="inlineStr">
        <is>
          <t>v0.1</t>
        </is>
      </c>
      <c r="N37" s="15" t="n"/>
    </row>
    <row r="38">
      <c r="A38" s="19" t="inlineStr">
        <is>
          <t>dur_interaction</t>
        </is>
      </c>
      <c r="B38" s="15" t="inlineStr">
        <is>
          <t>DUR 병용금기</t>
        </is>
      </c>
      <c r="C38" s="15" t="inlineStr">
        <is>
          <t>notice_no</t>
        </is>
      </c>
      <c r="D38" s="15" t="inlineStr">
        <is>
          <t>고시 번호</t>
        </is>
      </c>
      <c r="E38" s="15" t="inlineStr">
        <is>
          <t>varchar(10)</t>
        </is>
      </c>
      <c r="F38" s="16" t="n"/>
      <c r="G38" s="15" t="n"/>
      <c r="H38" s="16" t="inlineStr">
        <is>
          <t>N</t>
        </is>
      </c>
      <c r="I38" s="15" t="n"/>
      <c r="J38" s="15" t="n"/>
      <c r="K38" s="15" t="inlineStr">
        <is>
          <t>R-4 · R-5</t>
        </is>
      </c>
      <c r="L38" s="16" t="inlineStr">
        <is>
          <t>기존</t>
        </is>
      </c>
      <c r="M38" s="16" t="inlineStr">
        <is>
          <t>v0.1</t>
        </is>
      </c>
      <c r="N38" s="15" t="n"/>
    </row>
    <row r="39">
      <c r="A39" s="19" t="inlineStr">
        <is>
          <t>dur_interaction_exception</t>
        </is>
      </c>
      <c r="B39" s="15" t="inlineStr">
        <is>
          <t>DUR 병용금기 예외</t>
        </is>
      </c>
      <c r="C39" s="15" t="inlineStr">
        <is>
          <t>ingr_code_a</t>
        </is>
      </c>
      <c r="D39" s="15" t="inlineStr">
        <is>
          <t>성분 코드 A</t>
        </is>
      </c>
      <c r="E39" s="15" t="inlineStr">
        <is>
          <t>varchar(9)</t>
        </is>
      </c>
      <c r="F39" s="16" t="inlineStr">
        <is>
          <t>PK</t>
        </is>
      </c>
      <c r="G39" s="15" t="n"/>
      <c r="H39" s="16" t="inlineStr">
        <is>
          <t>Y</t>
        </is>
      </c>
      <c r="I39" s="15" t="n"/>
      <c r="J39" s="15" t="n"/>
      <c r="K39" s="15" t="inlineStr">
        <is>
          <t>R-4</t>
        </is>
      </c>
      <c r="L39" s="16" t="inlineStr">
        <is>
          <t>기존</t>
        </is>
      </c>
      <c r="M39" s="16" t="inlineStr">
        <is>
          <t>v0.1</t>
        </is>
      </c>
      <c r="N39" s="15" t="inlineStr">
        <is>
          <t>m.db TBJBD46. CSV에는 없는 데이터 — 없으면 오탐 발생</t>
        </is>
      </c>
    </row>
    <row r="40">
      <c r="A40" s="19" t="inlineStr">
        <is>
          <t>dur_interaction_exception</t>
        </is>
      </c>
      <c r="B40" s="15" t="inlineStr">
        <is>
          <t>DUR 병용금기 예외</t>
        </is>
      </c>
      <c r="C40" s="15" t="inlineStr">
        <is>
          <t>ingr_code_b</t>
        </is>
      </c>
      <c r="D40" s="15" t="inlineStr">
        <is>
          <t>성분 코드 B</t>
        </is>
      </c>
      <c r="E40" s="15" t="inlineStr">
        <is>
          <t>varchar(9)</t>
        </is>
      </c>
      <c r="F40" s="16" t="inlineStr">
        <is>
          <t>PK</t>
        </is>
      </c>
      <c r="G40" s="15" t="n"/>
      <c r="H40" s="16" t="inlineStr">
        <is>
          <t>Y</t>
        </is>
      </c>
      <c r="I40" s="15" t="n"/>
      <c r="J40" s="15" t="n"/>
      <c r="K40" s="15" t="inlineStr">
        <is>
          <t>R-4</t>
        </is>
      </c>
      <c r="L40" s="16" t="inlineStr">
        <is>
          <t>기존</t>
        </is>
      </c>
      <c r="M40" s="16" t="inlineStr">
        <is>
          <t>v0.1</t>
        </is>
      </c>
      <c r="N40" s="15" t="n"/>
    </row>
    <row r="41">
      <c r="A41" s="19" t="inlineStr">
        <is>
          <t>dur_interaction_exception</t>
        </is>
      </c>
      <c r="B41" s="15" t="inlineStr">
        <is>
          <t>DUR 병용금기 예외</t>
        </is>
      </c>
      <c r="C41" s="15" t="inlineStr">
        <is>
          <t>edi_code</t>
        </is>
      </c>
      <c r="D41" s="15" t="inlineStr">
        <is>
          <t>EDI 제품코드</t>
        </is>
      </c>
      <c r="E41" s="15" t="inlineStr">
        <is>
          <t>varchar(9)</t>
        </is>
      </c>
      <c r="F41" s="16" t="inlineStr">
        <is>
          <t>PK</t>
        </is>
      </c>
      <c r="G41" s="15" t="n"/>
      <c r="H41" s="16" t="inlineStr">
        <is>
          <t>Y</t>
        </is>
      </c>
      <c r="I41" s="15" t="n"/>
      <c r="J41" s="15" t="inlineStr">
        <is>
          <t>이 제품은 금기에서 제외</t>
        </is>
      </c>
      <c r="K41" s="15" t="inlineStr">
        <is>
          <t>R-4</t>
        </is>
      </c>
      <c r="L41" s="16" t="inlineStr">
        <is>
          <t>기존</t>
        </is>
      </c>
      <c r="M41" s="16" t="inlineStr">
        <is>
          <t>v0.1</t>
        </is>
      </c>
      <c r="N41" s="15" t="n"/>
    </row>
    <row r="42">
      <c r="A42" s="19" t="inlineStr">
        <is>
          <t>dur_elderly</t>
        </is>
      </c>
      <c r="B42" s="15" t="inlineStr">
        <is>
          <t>DUR 노인주의</t>
        </is>
      </c>
      <c r="C42" s="15" t="inlineStr">
        <is>
          <t>ingr_code</t>
        </is>
      </c>
      <c r="D42" s="15" t="inlineStr">
        <is>
          <t>성분 코드</t>
        </is>
      </c>
      <c r="E42" s="15" t="inlineStr">
        <is>
          <t>varchar(9)</t>
        </is>
      </c>
      <c r="F42" s="16" t="inlineStr">
        <is>
          <t>PK</t>
        </is>
      </c>
      <c r="G42" s="15" t="n"/>
      <c r="H42" s="16" t="inlineStr">
        <is>
          <t>Y</t>
        </is>
      </c>
      <c r="I42" s="15" t="n"/>
      <c r="J42" s="15" t="n"/>
      <c r="K42" s="15" t="inlineStr">
        <is>
          <t>R-4</t>
        </is>
      </c>
      <c r="L42" s="16" t="inlineStr">
        <is>
          <t>기존</t>
        </is>
      </c>
      <c r="M42" s="16" t="inlineStr">
        <is>
          <t>v0.1</t>
        </is>
      </c>
      <c r="N42" s="15" t="inlineStr">
        <is>
          <t>m.db TBDUC230 + 노인주의 CSV. 고령 타겟의 핵심</t>
        </is>
      </c>
    </row>
    <row r="43">
      <c r="A43" s="19" t="inlineStr">
        <is>
          <t>dur_elderly</t>
        </is>
      </c>
      <c r="B43" s="15" t="inlineStr">
        <is>
          <t>DUR 노인주의</t>
        </is>
      </c>
      <c r="C43" s="15" t="inlineStr">
        <is>
          <t>min_age</t>
        </is>
      </c>
      <c r="D43" s="15" t="inlineStr">
        <is>
          <t>기준 나이</t>
        </is>
      </c>
      <c r="E43" s="15" t="inlineStr">
        <is>
          <t>smallint</t>
        </is>
      </c>
      <c r="F43" s="16" t="n"/>
      <c r="G43" s="15" t="n"/>
      <c r="H43" s="16" t="inlineStr">
        <is>
          <t>N</t>
        </is>
      </c>
      <c r="I43" s="15" t="n"/>
      <c r="J43" s="15" t="inlineStr">
        <is>
          <t>통상 65</t>
        </is>
      </c>
      <c r="K43" s="15" t="inlineStr">
        <is>
          <t>R-4</t>
        </is>
      </c>
      <c r="L43" s="16" t="inlineStr">
        <is>
          <t>기존</t>
        </is>
      </c>
      <c r="M43" s="16" t="inlineStr">
        <is>
          <t>v0.1</t>
        </is>
      </c>
      <c r="N43" s="15" t="n"/>
    </row>
    <row r="44">
      <c r="A44" s="19" t="inlineStr">
        <is>
          <t>dur_elderly</t>
        </is>
      </c>
      <c r="B44" s="15" t="inlineStr">
        <is>
          <t>DUR 노인주의</t>
        </is>
      </c>
      <c r="C44" s="15" t="inlineStr">
        <is>
          <t>reason</t>
        </is>
      </c>
      <c r="D44" s="15" t="inlineStr">
        <is>
          <t>사유</t>
        </is>
      </c>
      <c r="E44" s="15" t="inlineStr">
        <is>
          <t>text</t>
        </is>
      </c>
      <c r="F44" s="16" t="n"/>
      <c r="G44" s="15" t="n"/>
      <c r="H44" s="16" t="inlineStr">
        <is>
          <t>N</t>
        </is>
      </c>
      <c r="I44" s="15" t="n"/>
      <c r="J44" s="15" t="n"/>
      <c r="K44" s="15" t="inlineStr">
        <is>
          <t>R-4</t>
        </is>
      </c>
      <c r="L44" s="16" t="inlineStr">
        <is>
          <t>기존</t>
        </is>
      </c>
      <c r="M44" s="16" t="inlineStr">
        <is>
          <t>v0.1</t>
        </is>
      </c>
      <c r="N44" s="15" t="n"/>
    </row>
    <row r="45">
      <c r="A45" s="19" t="inlineStr">
        <is>
          <t>dur_elderly</t>
        </is>
      </c>
      <c r="B45" s="15" t="inlineStr">
        <is>
          <t>DUR 노인주의</t>
        </is>
      </c>
      <c r="C45" s="15" t="inlineStr">
        <is>
          <t>notice_date</t>
        </is>
      </c>
      <c r="D45" s="15" t="inlineStr">
        <is>
          <t>고시일</t>
        </is>
      </c>
      <c r="E45" s="15" t="inlineStr">
        <is>
          <t>date</t>
        </is>
      </c>
      <c r="F45" s="16" t="n"/>
      <c r="G45" s="15" t="n"/>
      <c r="H45" s="16" t="inlineStr">
        <is>
          <t>N</t>
        </is>
      </c>
      <c r="I45" s="15" t="n"/>
      <c r="J45" s="15" t="n"/>
      <c r="K45" s="15" t="inlineStr">
        <is>
          <t>R-4</t>
        </is>
      </c>
      <c r="L45" s="16" t="inlineStr">
        <is>
          <t>기존</t>
        </is>
      </c>
      <c r="M45" s="16" t="inlineStr">
        <is>
          <t>v0.1</t>
        </is>
      </c>
      <c r="N45" s="15" t="n"/>
    </row>
    <row r="46">
      <c r="A46" s="19" t="inlineStr">
        <is>
          <t>dur_age_limit</t>
        </is>
      </c>
      <c r="B46" s="15" t="inlineStr">
        <is>
          <t>DUR 연령금기</t>
        </is>
      </c>
      <c r="C46" s="15" t="inlineStr">
        <is>
          <t>ingr_code</t>
        </is>
      </c>
      <c r="D46" s="15" t="inlineStr">
        <is>
          <t>성분 코드</t>
        </is>
      </c>
      <c r="E46" s="15" t="inlineStr">
        <is>
          <t>varchar(9)</t>
        </is>
      </c>
      <c r="F46" s="16" t="inlineStr">
        <is>
          <t>PK</t>
        </is>
      </c>
      <c r="G46" s="15" t="n"/>
      <c r="H46" s="16" t="inlineStr">
        <is>
          <t>Y</t>
        </is>
      </c>
      <c r="I46" s="15" t="n"/>
      <c r="J46" s="15" t="n"/>
      <c r="K46" s="15" t="inlineStr">
        <is>
          <t>R-4</t>
        </is>
      </c>
      <c r="L46" s="16" t="inlineStr">
        <is>
          <t>기존</t>
        </is>
      </c>
      <c r="M46" s="16" t="inlineStr">
        <is>
          <t>v0.1</t>
        </is>
      </c>
      <c r="N46" s="15" t="n"/>
    </row>
    <row r="47">
      <c r="A47" s="19" t="inlineStr">
        <is>
          <t>dur_age_limit</t>
        </is>
      </c>
      <c r="B47" s="15" t="inlineStr">
        <is>
          <t>DUR 연령금기</t>
        </is>
      </c>
      <c r="C47" s="15" t="inlineStr">
        <is>
          <t>age_value</t>
        </is>
      </c>
      <c r="D47" s="15" t="inlineStr">
        <is>
          <t>기준 나이</t>
        </is>
      </c>
      <c r="E47" s="15" t="inlineStr">
        <is>
          <t>smallint</t>
        </is>
      </c>
      <c r="F47" s="16" t="n"/>
      <c r="G47" s="15" t="n"/>
      <c r="H47" s="16" t="inlineStr">
        <is>
          <t>N</t>
        </is>
      </c>
      <c r="I47" s="15" t="n"/>
      <c r="J47" s="15" t="n"/>
      <c r="K47" s="15" t="inlineStr">
        <is>
          <t>R-4</t>
        </is>
      </c>
      <c r="L47" s="16" t="inlineStr">
        <is>
          <t>기존</t>
        </is>
      </c>
      <c r="M47" s="16" t="inlineStr">
        <is>
          <t>v0.1</t>
        </is>
      </c>
      <c r="N47" s="15" t="n"/>
    </row>
    <row r="48">
      <c r="A48" s="19" t="inlineStr">
        <is>
          <t>dur_age_limit</t>
        </is>
      </c>
      <c r="B48" s="15" t="inlineStr">
        <is>
          <t>DUR 연령금기</t>
        </is>
      </c>
      <c r="C48" s="15" t="inlineStr">
        <is>
          <t>age_unit</t>
        </is>
      </c>
      <c r="D48" s="15" t="inlineStr">
        <is>
          <t>나이 단위</t>
        </is>
      </c>
      <c r="E48" s="15" t="inlineStr">
        <is>
          <t>varchar(10)</t>
        </is>
      </c>
      <c r="F48" s="16" t="n"/>
      <c r="G48" s="15" t="n"/>
      <c r="H48" s="16" t="inlineStr">
        <is>
          <t>N</t>
        </is>
      </c>
      <c r="I48" s="15" t="n"/>
      <c r="J48" s="15" t="inlineStr">
        <is>
          <t>세 / 개월</t>
        </is>
      </c>
      <c r="K48" s="15" t="inlineStr">
        <is>
          <t>R-4</t>
        </is>
      </c>
      <c r="L48" s="16" t="inlineStr">
        <is>
          <t>기존</t>
        </is>
      </c>
      <c r="M48" s="16" t="inlineStr">
        <is>
          <t>v0.1</t>
        </is>
      </c>
      <c r="N48" s="15" t="n"/>
    </row>
    <row r="49">
      <c r="A49" s="19" t="inlineStr">
        <is>
          <t>dur_age_limit</t>
        </is>
      </c>
      <c r="B49" s="15" t="inlineStr">
        <is>
          <t>DUR 연령금기</t>
        </is>
      </c>
      <c r="C49" s="15" t="inlineStr">
        <is>
          <t>age_condition</t>
        </is>
      </c>
      <c r="D49" s="15" t="inlineStr">
        <is>
          <t>나이 조건</t>
        </is>
      </c>
      <c r="E49" s="15" t="inlineStr">
        <is>
          <t>varchar(10)</t>
        </is>
      </c>
      <c r="F49" s="16" t="n"/>
      <c r="G49" s="15" t="n"/>
      <c r="H49" s="16" t="inlineStr">
        <is>
          <t>N</t>
        </is>
      </c>
      <c r="I49" s="15" t="n"/>
      <c r="J49" s="15" t="inlineStr">
        <is>
          <t>미만 / 이하 / 이상</t>
        </is>
      </c>
      <c r="K49" s="15" t="inlineStr">
        <is>
          <t>R-4</t>
        </is>
      </c>
      <c r="L49" s="16" t="inlineStr">
        <is>
          <t>기존</t>
        </is>
      </c>
      <c r="M49" s="16" t="inlineStr">
        <is>
          <t>v0.1</t>
        </is>
      </c>
      <c r="N49" s="15" t="n"/>
    </row>
    <row r="50">
      <c r="A50" s="19" t="inlineStr">
        <is>
          <t>dur_age_limit</t>
        </is>
      </c>
      <c r="B50" s="15" t="inlineStr">
        <is>
          <t>DUR 연령금기</t>
        </is>
      </c>
      <c r="C50" s="15" t="inlineStr">
        <is>
          <t>reason</t>
        </is>
      </c>
      <c r="D50" s="15" t="inlineStr">
        <is>
          <t>사유</t>
        </is>
      </c>
      <c r="E50" s="15" t="inlineStr">
        <is>
          <t>text</t>
        </is>
      </c>
      <c r="F50" s="16" t="n"/>
      <c r="G50" s="15" t="n"/>
      <c r="H50" s="16" t="inlineStr">
        <is>
          <t>N</t>
        </is>
      </c>
      <c r="I50" s="15" t="n"/>
      <c r="J50" s="15" t="n"/>
      <c r="K50" s="15" t="inlineStr">
        <is>
          <t>R-4</t>
        </is>
      </c>
      <c r="L50" s="16" t="inlineStr">
        <is>
          <t>기존</t>
        </is>
      </c>
      <c r="M50" s="16" t="inlineStr">
        <is>
          <t>v0.1</t>
        </is>
      </c>
      <c r="N50" s="15" t="n"/>
    </row>
    <row r="51">
      <c r="A51" s="19" t="inlineStr">
        <is>
          <t>dur_age_limit</t>
        </is>
      </c>
      <c r="B51" s="15" t="inlineStr">
        <is>
          <t>DUR 연령금기</t>
        </is>
      </c>
      <c r="C51" s="15" t="inlineStr">
        <is>
          <t>notice_date</t>
        </is>
      </c>
      <c r="D51" s="15" t="inlineStr">
        <is>
          <t>고시일</t>
        </is>
      </c>
      <c r="E51" s="15" t="inlineStr">
        <is>
          <t>date</t>
        </is>
      </c>
      <c r="F51" s="16" t="n"/>
      <c r="G51" s="15" t="n"/>
      <c r="H51" s="16" t="inlineStr">
        <is>
          <t>N</t>
        </is>
      </c>
      <c r="I51" s="15" t="n"/>
      <c r="J51" s="15" t="n"/>
      <c r="K51" s="15" t="inlineStr">
        <is>
          <t>R-4</t>
        </is>
      </c>
      <c r="L51" s="16" t="inlineStr">
        <is>
          <t>기존</t>
        </is>
      </c>
      <c r="M51" s="16" t="inlineStr">
        <is>
          <t>v0.1</t>
        </is>
      </c>
      <c r="N51" s="15" t="n"/>
    </row>
    <row r="52">
      <c r="A52" s="19" t="inlineStr">
        <is>
          <t>dur_pregnancy</t>
        </is>
      </c>
      <c r="B52" s="15" t="inlineStr">
        <is>
          <t>DUR 임부금기</t>
        </is>
      </c>
      <c r="C52" s="15" t="inlineStr">
        <is>
          <t>ingr_code</t>
        </is>
      </c>
      <c r="D52" s="15" t="inlineStr">
        <is>
          <t>성분 코드</t>
        </is>
      </c>
      <c r="E52" s="15" t="inlineStr">
        <is>
          <t>varchar(9)</t>
        </is>
      </c>
      <c r="F52" s="16" t="inlineStr">
        <is>
          <t>PK</t>
        </is>
      </c>
      <c r="G52" s="15" t="n"/>
      <c r="H52" s="16" t="inlineStr">
        <is>
          <t>Y</t>
        </is>
      </c>
      <c r="I52" s="15" t="n"/>
      <c r="J52" s="15" t="n"/>
      <c r="K52" s="15" t="inlineStr">
        <is>
          <t>R-4</t>
        </is>
      </c>
      <c r="L52" s="16" t="inlineStr">
        <is>
          <t>기존</t>
        </is>
      </c>
      <c r="M52" s="16" t="inlineStr">
        <is>
          <t>v0.1</t>
        </is>
      </c>
      <c r="N52" s="15" t="n"/>
    </row>
    <row r="53">
      <c r="A53" s="19" t="inlineStr">
        <is>
          <t>dur_pregnancy</t>
        </is>
      </c>
      <c r="B53" s="15" t="inlineStr">
        <is>
          <t>DUR 임부금기</t>
        </is>
      </c>
      <c r="C53" s="15" t="inlineStr">
        <is>
          <t>grade</t>
        </is>
      </c>
      <c r="D53" s="15" t="inlineStr">
        <is>
          <t>금기 등급</t>
        </is>
      </c>
      <c r="E53" s="15" t="inlineStr">
        <is>
          <t>varchar(2)</t>
        </is>
      </c>
      <c r="F53" s="16" t="n"/>
      <c r="G53" s="15" t="n"/>
      <c r="H53" s="16" t="inlineStr">
        <is>
          <t>N</t>
        </is>
      </c>
      <c r="I53" s="15" t="n"/>
      <c r="J53" s="15" t="inlineStr">
        <is>
          <t>금기등급</t>
        </is>
      </c>
      <c r="K53" s="15" t="inlineStr">
        <is>
          <t>R-4</t>
        </is>
      </c>
      <c r="L53" s="16" t="inlineStr">
        <is>
          <t>기존</t>
        </is>
      </c>
      <c r="M53" s="16" t="inlineStr">
        <is>
          <t>v0.1</t>
        </is>
      </c>
      <c r="N53" s="15" t="n"/>
    </row>
    <row r="54">
      <c r="A54" s="19" t="inlineStr">
        <is>
          <t>dur_pregnancy</t>
        </is>
      </c>
      <c r="B54" s="15" t="inlineStr">
        <is>
          <t>DUR 임부금기</t>
        </is>
      </c>
      <c r="C54" s="15" t="inlineStr">
        <is>
          <t>reason</t>
        </is>
      </c>
      <c r="D54" s="15" t="inlineStr">
        <is>
          <t>사유</t>
        </is>
      </c>
      <c r="E54" s="15" t="inlineStr">
        <is>
          <t>text</t>
        </is>
      </c>
      <c r="F54" s="16" t="n"/>
      <c r="G54" s="15" t="n"/>
      <c r="H54" s="16" t="inlineStr">
        <is>
          <t>N</t>
        </is>
      </c>
      <c r="I54" s="15" t="n"/>
      <c r="J54" s="15" t="n"/>
      <c r="K54" s="15" t="inlineStr">
        <is>
          <t>R-4</t>
        </is>
      </c>
      <c r="L54" s="16" t="inlineStr">
        <is>
          <t>기존</t>
        </is>
      </c>
      <c r="M54" s="16" t="inlineStr">
        <is>
          <t>v0.1</t>
        </is>
      </c>
      <c r="N54" s="15" t="n"/>
    </row>
    <row r="55">
      <c r="A55" s="19" t="inlineStr">
        <is>
          <t>dur_pregnancy</t>
        </is>
      </c>
      <c r="B55" s="15" t="inlineStr">
        <is>
          <t>DUR 임부금기</t>
        </is>
      </c>
      <c r="C55" s="15" t="inlineStr">
        <is>
          <t>notice_date</t>
        </is>
      </c>
      <c r="D55" s="15" t="inlineStr">
        <is>
          <t>고시일</t>
        </is>
      </c>
      <c r="E55" s="15" t="inlineStr">
        <is>
          <t>date</t>
        </is>
      </c>
      <c r="F55" s="16" t="n"/>
      <c r="G55" s="15" t="n"/>
      <c r="H55" s="16" t="inlineStr">
        <is>
          <t>N</t>
        </is>
      </c>
      <c r="I55" s="15" t="n"/>
      <c r="J55" s="15" t="n"/>
      <c r="K55" s="15" t="inlineStr">
        <is>
          <t>R-4</t>
        </is>
      </c>
      <c r="L55" s="16" t="inlineStr">
        <is>
          <t>기존</t>
        </is>
      </c>
      <c r="M55" s="16" t="inlineStr">
        <is>
          <t>v0.1</t>
        </is>
      </c>
      <c r="N55" s="15" t="n"/>
    </row>
    <row r="56">
      <c r="A56" s="19" t="inlineStr">
        <is>
          <t>dur_dose_limit</t>
        </is>
      </c>
      <c r="B56" s="15" t="inlineStr">
        <is>
          <t>DUR 용량주의</t>
        </is>
      </c>
      <c r="C56" s="15" t="inlineStr">
        <is>
          <t>ingr_code</t>
        </is>
      </c>
      <c r="D56" s="15" t="inlineStr">
        <is>
          <t>성분 코드</t>
        </is>
      </c>
      <c r="E56" s="15" t="inlineStr">
        <is>
          <t>varchar(9)</t>
        </is>
      </c>
      <c r="F56" s="16" t="inlineStr">
        <is>
          <t>PK</t>
        </is>
      </c>
      <c r="G56" s="15" t="n"/>
      <c r="H56" s="16" t="inlineStr">
        <is>
          <t>Y</t>
        </is>
      </c>
      <c r="I56" s="15" t="n"/>
      <c r="J56" s="15" t="n"/>
      <c r="K56" s="15" t="inlineStr">
        <is>
          <t>R-4</t>
        </is>
      </c>
      <c r="L56" s="16" t="inlineStr">
        <is>
          <t>기존</t>
        </is>
      </c>
      <c r="M56" s="16" t="inlineStr">
        <is>
          <t>v0.1</t>
        </is>
      </c>
      <c r="N56" s="15" t="inlineStr">
        <is>
          <t>m.db TBDUC200/202. prescription_items의 1일 총량과 비교해 과용량 검출</t>
        </is>
      </c>
    </row>
    <row r="57">
      <c r="A57" s="19" t="inlineStr">
        <is>
          <t>dur_dose_limit</t>
        </is>
      </c>
      <c r="B57" s="15" t="inlineStr">
        <is>
          <t>DUR 용량주의</t>
        </is>
      </c>
      <c r="C57" s="15" t="inlineStr">
        <is>
          <t>max_daily_qty</t>
        </is>
      </c>
      <c r="D57" s="15" t="inlineStr">
        <is>
          <t>1일 최대 투여량</t>
        </is>
      </c>
      <c r="E57" s="15" t="inlineStr">
        <is>
          <t>decimal(12,3)</t>
        </is>
      </c>
      <c r="F57" s="16" t="n"/>
      <c r="G57" s="15" t="n"/>
      <c r="H57" s="16" t="inlineStr">
        <is>
          <t>N</t>
        </is>
      </c>
      <c r="I57" s="15" t="n"/>
      <c r="J57" s="15" t="inlineStr">
        <is>
          <t>1일 최대 투여 기준량</t>
        </is>
      </c>
      <c r="K57" s="15" t="inlineStr">
        <is>
          <t>R-4</t>
        </is>
      </c>
      <c r="L57" s="16" t="inlineStr">
        <is>
          <t>기존</t>
        </is>
      </c>
      <c r="M57" s="16" t="inlineStr">
        <is>
          <t>v0.1</t>
        </is>
      </c>
      <c r="N57" s="15" t="n"/>
    </row>
    <row r="58">
      <c r="A58" s="19" t="inlineStr">
        <is>
          <t>dur_dose_limit</t>
        </is>
      </c>
      <c r="B58" s="15" t="inlineStr">
        <is>
          <t>DUR 용량주의</t>
        </is>
      </c>
      <c r="C58" s="15" t="inlineStr">
        <is>
          <t>max_daily_text</t>
        </is>
      </c>
      <c r="D58" s="15" t="inlineStr">
        <is>
          <t>1일 최대 투여량 (원문)</t>
        </is>
      </c>
      <c r="E58" s="15" t="inlineStr">
        <is>
          <t>varchar(100)</t>
        </is>
      </c>
      <c r="F58" s="16" t="n"/>
      <c r="G58" s="15" t="n"/>
      <c r="H58" s="16" t="inlineStr">
        <is>
          <t>N</t>
        </is>
      </c>
      <c r="I58" s="15" t="n"/>
      <c r="J58" s="15" t="n"/>
      <c r="K58" s="15" t="inlineStr">
        <is>
          <t>R-4</t>
        </is>
      </c>
      <c r="L58" s="16" t="inlineStr">
        <is>
          <t>기존</t>
        </is>
      </c>
      <c r="M58" s="16" t="inlineStr">
        <is>
          <t>v0.1</t>
        </is>
      </c>
      <c r="N58" s="15" t="n"/>
    </row>
    <row r="59">
      <c r="A59" s="19" t="inlineStr">
        <is>
          <t>dur_dose_limit</t>
        </is>
      </c>
      <c r="B59" s="15" t="inlineStr">
        <is>
          <t>DUR 용량주의</t>
        </is>
      </c>
      <c r="C59" s="15" t="inlineStr">
        <is>
          <t>max_period_days</t>
        </is>
      </c>
      <c r="D59" s="15" t="inlineStr">
        <is>
          <t>최대 투여기간</t>
        </is>
      </c>
      <c r="E59" s="15" t="inlineStr">
        <is>
          <t>smallint</t>
        </is>
      </c>
      <c r="F59" s="16" t="n"/>
      <c r="G59" s="15" t="n"/>
      <c r="H59" s="16" t="inlineStr">
        <is>
          <t>N</t>
        </is>
      </c>
      <c r="I59" s="15" t="n"/>
      <c r="J59" s="15" t="inlineStr">
        <is>
          <t>최대 투여기간</t>
        </is>
      </c>
      <c r="K59" s="15" t="inlineStr">
        <is>
          <t>R-4</t>
        </is>
      </c>
      <c r="L59" s="16" t="inlineStr">
        <is>
          <t>기존</t>
        </is>
      </c>
      <c r="M59" s="16" t="inlineStr">
        <is>
          <t>v0.1</t>
        </is>
      </c>
      <c r="N59" s="15" t="n"/>
    </row>
    <row r="60">
      <c r="A60" s="19" t="inlineStr">
        <is>
          <t>dup_ingredient</t>
        </is>
      </c>
      <c r="B60" s="15" t="inlineStr">
        <is>
          <t>동일성분 중복</t>
        </is>
      </c>
      <c r="C60" s="15" t="inlineStr">
        <is>
          <t>edi_code</t>
        </is>
      </c>
      <c r="D60" s="15" t="inlineStr">
        <is>
          <t>EDI 제품코드</t>
        </is>
      </c>
      <c r="E60" s="15" t="inlineStr">
        <is>
          <t>varchar(9)</t>
        </is>
      </c>
      <c r="F60" s="16" t="inlineStr">
        <is>
          <t>PK · FK</t>
        </is>
      </c>
      <c r="G60" s="15" t="inlineStr">
        <is>
          <t>drug_products.edi_code</t>
        </is>
      </c>
      <c r="H60" s="16" t="inlineStr">
        <is>
          <t>Y</t>
        </is>
      </c>
      <c r="I60" s="15" t="n"/>
      <c r="J60" s="15" t="n"/>
      <c r="K60" s="15" t="inlineStr">
        <is>
          <t>R-4</t>
        </is>
      </c>
      <c r="L60" s="16" t="inlineStr">
        <is>
          <t>기존</t>
        </is>
      </c>
      <c r="M60" s="16" t="inlineStr">
        <is>
          <t>v0.1</t>
        </is>
      </c>
      <c r="N60" s="15" t="inlineStr">
        <is>
          <t>동일성분 중복점검 29,051품목. dur_ingr_code가 같으면 동일 성분</t>
        </is>
      </c>
    </row>
    <row r="61">
      <c r="A61" s="19" t="inlineStr">
        <is>
          <t>dup_ingredient</t>
        </is>
      </c>
      <c r="B61" s="15" t="inlineStr">
        <is>
          <t>동일성분 중복</t>
        </is>
      </c>
      <c r="C61" s="15" t="inlineStr">
        <is>
          <t>dur_ingr_seq</t>
        </is>
      </c>
      <c r="D61" s="15" t="inlineStr">
        <is>
          <t>성분 순번</t>
        </is>
      </c>
      <c r="E61" s="15" t="inlineStr">
        <is>
          <t>smallint</t>
        </is>
      </c>
      <c r="F61" s="16" t="inlineStr">
        <is>
          <t>PK</t>
        </is>
      </c>
      <c r="G61" s="15" t="n"/>
      <c r="H61" s="16" t="inlineStr">
        <is>
          <t>Y</t>
        </is>
      </c>
      <c r="I61" s="15" t="n"/>
      <c r="J61" s="15" t="inlineStr">
        <is>
          <t>복합제는 성분 1~4개</t>
        </is>
      </c>
      <c r="K61" s="15" t="inlineStr">
        <is>
          <t>R-4</t>
        </is>
      </c>
      <c r="L61" s="16" t="inlineStr">
        <is>
          <t>기존</t>
        </is>
      </c>
      <c r="M61" s="16" t="inlineStr">
        <is>
          <t>v0.1</t>
        </is>
      </c>
      <c r="N61" s="15" t="n"/>
    </row>
    <row r="62">
      <c r="A62" s="19" t="inlineStr">
        <is>
          <t>dup_ingredient</t>
        </is>
      </c>
      <c r="B62" s="15" t="inlineStr">
        <is>
          <t>동일성분 중복</t>
        </is>
      </c>
      <c r="C62" s="15" t="inlineStr">
        <is>
          <t>dur_ingr_code</t>
        </is>
      </c>
      <c r="D62" s="15" t="inlineStr">
        <is>
          <t>DUR 성분 코드</t>
        </is>
      </c>
      <c r="E62" s="15" t="inlineStr">
        <is>
          <t>varchar(10)</t>
        </is>
      </c>
      <c r="F62" s="16" t="n"/>
      <c r="G62" s="15" t="n"/>
      <c r="H62" s="16" t="inlineStr">
        <is>
          <t>Y</t>
        </is>
      </c>
      <c r="I62" s="15" t="n"/>
      <c r="J62" s="15" t="inlineStr">
        <is>
          <t>DH##### 형식</t>
        </is>
      </c>
      <c r="K62" s="15" t="inlineStr">
        <is>
          <t>R-4</t>
        </is>
      </c>
      <c r="L62" s="16" t="inlineStr">
        <is>
          <t>기존</t>
        </is>
      </c>
      <c r="M62" s="16" t="inlineStr">
        <is>
          <t>v0.1</t>
        </is>
      </c>
      <c r="N62" s="15" t="n"/>
    </row>
    <row r="63">
      <c r="A63" s="19" t="inlineStr">
        <is>
          <t>dup_ingredient</t>
        </is>
      </c>
      <c r="B63" s="15" t="inlineStr">
        <is>
          <t>동일성분 중복</t>
        </is>
      </c>
      <c r="C63" s="15" t="inlineStr">
        <is>
          <t>dur_ingr_name</t>
        </is>
      </c>
      <c r="D63" s="15" t="inlineStr">
        <is>
          <t>DUR 성분명</t>
        </is>
      </c>
      <c r="E63" s="15" t="inlineStr">
        <is>
          <t>varchar(300)</t>
        </is>
      </c>
      <c r="F63" s="16" t="n"/>
      <c r="G63" s="15" t="n"/>
      <c r="H63" s="16" t="inlineStr">
        <is>
          <t>N</t>
        </is>
      </c>
      <c r="I63" s="15" t="n"/>
      <c r="J63" s="15" t="n"/>
      <c r="K63" s="15" t="inlineStr">
        <is>
          <t>R-4</t>
        </is>
      </c>
      <c r="L63" s="16" t="inlineStr">
        <is>
          <t>기존</t>
        </is>
      </c>
      <c r="M63" s="16" t="inlineStr">
        <is>
          <t>v0.1</t>
        </is>
      </c>
      <c r="N63" s="15" t="n"/>
    </row>
    <row r="64">
      <c r="A64" s="19" t="inlineStr">
        <is>
          <t>dup_efficacy</t>
        </is>
      </c>
      <c r="B64" s="15" t="inlineStr">
        <is>
          <t>효능군 중복</t>
        </is>
      </c>
      <c r="C64" s="15" t="inlineStr">
        <is>
          <t>edi_code</t>
        </is>
      </c>
      <c r="D64" s="15" t="inlineStr">
        <is>
          <t>EDI 제품코드</t>
        </is>
      </c>
      <c r="E64" s="15" t="inlineStr">
        <is>
          <t>varchar(9)</t>
        </is>
      </c>
      <c r="F64" s="16" t="inlineStr">
        <is>
          <t>PK · FK</t>
        </is>
      </c>
      <c r="G64" s="15" t="inlineStr">
        <is>
          <t>drug_products.edi_code</t>
        </is>
      </c>
      <c r="H64" s="16" t="inlineStr">
        <is>
          <t>Y</t>
        </is>
      </c>
      <c r="I64" s="15" t="n"/>
      <c r="J64" s="15" t="n"/>
      <c r="K64" s="15" t="inlineStr">
        <is>
          <t>R-4</t>
        </is>
      </c>
      <c r="L64" s="16" t="inlineStr">
        <is>
          <t>기존</t>
        </is>
      </c>
      <c r="M64" s="16" t="inlineStr">
        <is>
          <t>v0.1</t>
        </is>
      </c>
      <c r="N64" s="15" t="inlineStr">
        <is>
          <t>효능군중복 11,718품목 / 점검코드 278개</t>
        </is>
      </c>
    </row>
    <row r="65">
      <c r="A65" s="19" t="inlineStr">
        <is>
          <t>dup_efficacy</t>
        </is>
      </c>
      <c r="B65" s="15" t="inlineStr">
        <is>
          <t>효능군 중복</t>
        </is>
      </c>
      <c r="C65" s="15" t="inlineStr">
        <is>
          <t>efficacy_group</t>
        </is>
      </c>
      <c r="D65" s="15" t="inlineStr">
        <is>
          <t>효능군</t>
        </is>
      </c>
      <c r="E65" s="15" t="inlineStr">
        <is>
          <t>varchar(50)</t>
        </is>
      </c>
      <c r="F65" s="16" t="n"/>
      <c r="G65" s="15" t="n"/>
      <c r="H65" s="16" t="inlineStr">
        <is>
          <t>N</t>
        </is>
      </c>
      <c r="I65" s="15" t="n"/>
      <c r="J65" s="15" t="inlineStr">
        <is>
          <t>혈압강하작용의약품 (B) 등 9개</t>
        </is>
      </c>
      <c r="K65" s="15" t="inlineStr">
        <is>
          <t>R-4</t>
        </is>
      </c>
      <c r="L65" s="16" t="inlineStr">
        <is>
          <t>기존</t>
        </is>
      </c>
      <c r="M65" s="16" t="inlineStr">
        <is>
          <t>v0.1</t>
        </is>
      </c>
      <c r="N65" s="15" t="n"/>
    </row>
    <row r="66">
      <c r="A66" s="19" t="inlineStr">
        <is>
          <t>dup_efficacy</t>
        </is>
      </c>
      <c r="B66" s="15" t="inlineStr">
        <is>
          <t>효능군 중복</t>
        </is>
      </c>
      <c r="C66" s="15" t="inlineStr">
        <is>
          <t>check_code</t>
        </is>
      </c>
      <c r="D66" s="15" t="inlineStr">
        <is>
          <t>효능군 점검 코드</t>
        </is>
      </c>
      <c r="E66" s="15" t="inlineStr">
        <is>
          <t>varchar(10)</t>
        </is>
      </c>
      <c r="F66" s="16" t="n"/>
      <c r="G66" s="15" t="n"/>
      <c r="H66" s="16" t="inlineStr">
        <is>
          <t>Y</t>
        </is>
      </c>
      <c r="I66" s="15" t="n"/>
      <c r="J66" s="15" t="inlineStr">
        <is>
          <t>효능군중복점검코드 — 같으면 중복</t>
        </is>
      </c>
      <c r="K66" s="15" t="inlineStr">
        <is>
          <t>R-4</t>
        </is>
      </c>
      <c r="L66" s="16" t="inlineStr">
        <is>
          <t>기존</t>
        </is>
      </c>
      <c r="M66" s="16" t="inlineStr">
        <is>
          <t>v0.1</t>
        </is>
      </c>
      <c r="N66" s="15" t="n"/>
    </row>
    <row r="67">
      <c r="A67" s="19" t="inlineStr">
        <is>
          <t>dup_efficacy</t>
        </is>
      </c>
      <c r="B67" s="15" t="inlineStr">
        <is>
          <t>효능군 중복</t>
        </is>
      </c>
      <c r="C67" s="15" t="inlineStr">
        <is>
          <t>gnl_name</t>
        </is>
      </c>
      <c r="D67" s="15" t="inlineStr">
        <is>
          <t>일반명</t>
        </is>
      </c>
      <c r="E67" s="15" t="inlineStr">
        <is>
          <t>varchar(300)</t>
        </is>
      </c>
      <c r="F67" s="16" t="n"/>
      <c r="G67" s="15" t="n"/>
      <c r="H67" s="16" t="inlineStr">
        <is>
          <t>N</t>
        </is>
      </c>
      <c r="I67" s="15" t="n"/>
      <c r="J67" s="15" t="n"/>
      <c r="K67" s="15" t="inlineStr">
        <is>
          <t>R-4</t>
        </is>
      </c>
      <c r="L67" s="16" t="inlineStr">
        <is>
          <t>기존</t>
        </is>
      </c>
      <c r="M67" s="16" t="inlineStr">
        <is>
          <t>v0.1</t>
        </is>
      </c>
      <c r="N67" s="15" t="n"/>
    </row>
    <row r="68">
      <c r="A68" s="20" t="inlineStr">
        <is>
          <t>diseases</t>
        </is>
      </c>
      <c r="B68" s="21" t="inlineStr">
        <is>
          <t>상병 (KCD)</t>
        </is>
      </c>
      <c r="C68" s="21" t="inlineStr">
        <is>
          <t>code</t>
        </is>
      </c>
      <c r="D68" s="21" t="inlineStr">
        <is>
          <t>상병 코드</t>
        </is>
      </c>
      <c r="E68" s="21" t="inlineStr">
        <is>
          <t>varchar(10)</t>
        </is>
      </c>
      <c r="F68" s="22" t="inlineStr">
        <is>
          <t>PK</t>
        </is>
      </c>
      <c r="G68" s="21" t="n"/>
      <c r="H68" s="22" t="inlineStr">
        <is>
          <t>Y</t>
        </is>
      </c>
      <c r="I68" s="21" t="n"/>
      <c r="J68" s="21" t="inlineStr">
        <is>
          <t>상병기호 (KCD)</t>
        </is>
      </c>
      <c r="K68" s="21" t="inlineStr">
        <is>
          <t>O-2 · R-6</t>
        </is>
      </c>
      <c r="L68" s="22" t="inlineStr">
        <is>
          <t>수정</t>
        </is>
      </c>
      <c r="M68" s="22" t="inlineStr">
        <is>
          <t>v1.3</t>
        </is>
      </c>
      <c r="N68" s="21" t="inlineStr">
        <is>
          <t>심평원 상병마스터 2025-09-30 — 47,798줄 중 상병기호 21,299개 (같은 코드에 동의어가 여러 줄, 첫 줄 이름만 씀)</t>
        </is>
      </c>
    </row>
    <row r="69">
      <c r="A69" s="19" t="inlineStr">
        <is>
          <t>diseases</t>
        </is>
      </c>
      <c r="B69" s="15" t="inlineStr">
        <is>
          <t>상병 (KCD)</t>
        </is>
      </c>
      <c r="C69" s="15" t="inlineStr">
        <is>
          <t>name_kr</t>
        </is>
      </c>
      <c r="D69" s="15" t="inlineStr">
        <is>
          <t>상병명 (한글)</t>
        </is>
      </c>
      <c r="E69" s="15" t="inlineStr">
        <is>
          <t>varchar(300)</t>
        </is>
      </c>
      <c r="F69" s="16" t="n"/>
      <c r="G69" s="15" t="n"/>
      <c r="H69" s="16" t="inlineStr">
        <is>
          <t>Y</t>
        </is>
      </c>
      <c r="I69" s="15" t="n"/>
      <c r="J69" s="15" t="n"/>
      <c r="K69" s="15" t="inlineStr">
        <is>
          <t>O-2 · R-6</t>
        </is>
      </c>
      <c r="L69" s="16" t="inlineStr">
        <is>
          <t>기존</t>
        </is>
      </c>
      <c r="M69" s="16" t="inlineStr">
        <is>
          <t>v0.1</t>
        </is>
      </c>
      <c r="N69" s="15" t="n"/>
    </row>
    <row r="70">
      <c r="A70" s="19" t="inlineStr">
        <is>
          <t>diseases</t>
        </is>
      </c>
      <c r="B70" s="15" t="inlineStr">
        <is>
          <t>상병 (KCD)</t>
        </is>
      </c>
      <c r="C70" s="15" t="inlineStr">
        <is>
          <t>name_en</t>
        </is>
      </c>
      <c r="D70" s="15" t="inlineStr">
        <is>
          <t>상병명 (영문)</t>
        </is>
      </c>
      <c r="E70" s="15" t="inlineStr">
        <is>
          <t>varchar(500)</t>
        </is>
      </c>
      <c r="F70" s="16" t="n"/>
      <c r="G70" s="15" t="n"/>
      <c r="H70" s="16" t="inlineStr">
        <is>
          <t>N</t>
        </is>
      </c>
      <c r="I70" s="15" t="n"/>
      <c r="J70" s="15" t="n"/>
      <c r="K70" s="15" t="inlineStr">
        <is>
          <t>O-2 · R-6</t>
        </is>
      </c>
      <c r="L70" s="16" t="inlineStr">
        <is>
          <t>기존</t>
        </is>
      </c>
      <c r="M70" s="16" t="inlineStr">
        <is>
          <t>v0.1</t>
        </is>
      </c>
      <c r="N70" s="15" t="n"/>
    </row>
    <row r="71">
      <c r="A71" s="19" t="inlineStr">
        <is>
          <t>diseases</t>
        </is>
      </c>
      <c r="B71" s="15" t="inlineStr">
        <is>
          <t>상병 (KCD)</t>
        </is>
      </c>
      <c r="C71" s="15" t="inlineStr">
        <is>
          <t>is_complete</t>
        </is>
      </c>
      <c r="D71" s="15" t="inlineStr">
        <is>
          <t>완전코드 여부</t>
        </is>
      </c>
      <c r="E71" s="15" t="inlineStr">
        <is>
          <t>boolean</t>
        </is>
      </c>
      <c r="F71" s="16" t="n"/>
      <c r="G71" s="15" t="n"/>
      <c r="H71" s="16" t="inlineStr">
        <is>
          <t>N</t>
        </is>
      </c>
      <c r="I71" s="15" t="n"/>
      <c r="J71" s="15" t="inlineStr">
        <is>
          <t>완전코드 여부</t>
        </is>
      </c>
      <c r="K71" s="15" t="inlineStr">
        <is>
          <t>O-2 · R-6</t>
        </is>
      </c>
      <c r="L71" s="16" t="inlineStr">
        <is>
          <t>기존</t>
        </is>
      </c>
      <c r="M71" s="16" t="inlineStr">
        <is>
          <t>v0.1</t>
        </is>
      </c>
      <c r="N71" s="15" t="n"/>
    </row>
    <row r="72">
      <c r="A72" s="19" t="inlineStr">
        <is>
          <t>diseases</t>
        </is>
      </c>
      <c r="B72" s="15" t="inlineStr">
        <is>
          <t>상병 (KCD)</t>
        </is>
      </c>
      <c r="C72" s="15" t="inlineStr">
        <is>
          <t>main_usable</t>
        </is>
      </c>
      <c r="D72" s="15" t="inlineStr">
        <is>
          <t>주상병 사용 가능</t>
        </is>
      </c>
      <c r="E72" s="15" t="inlineStr">
        <is>
          <t>boolean</t>
        </is>
      </c>
      <c r="F72" s="16" t="n"/>
      <c r="G72" s="15" t="n"/>
      <c r="H72" s="16" t="inlineStr">
        <is>
          <t>N</t>
        </is>
      </c>
      <c r="I72" s="15" t="n"/>
      <c r="J72" s="15" t="inlineStr">
        <is>
          <t>주상병 사용 가능 여부</t>
        </is>
      </c>
      <c r="K72" s="15" t="inlineStr">
        <is>
          <t>O-2 · R-6</t>
        </is>
      </c>
      <c r="L72" s="16" t="inlineStr">
        <is>
          <t>기존</t>
        </is>
      </c>
      <c r="M72" s="16" t="inlineStr">
        <is>
          <t>v0.1</t>
        </is>
      </c>
      <c r="N72" s="15" t="n"/>
    </row>
    <row r="73">
      <c r="A73" s="19" t="inlineStr">
        <is>
          <t>diseases</t>
        </is>
      </c>
      <c r="B73" s="15" t="inlineStr">
        <is>
          <t>상병 (KCD)</t>
        </is>
      </c>
      <c r="C73" s="15" t="inlineStr">
        <is>
          <t>sex_limit</t>
        </is>
      </c>
      <c r="D73" s="15" t="inlineStr">
        <is>
          <t>성별 제한</t>
        </is>
      </c>
      <c r="E73" s="15" t="inlineStr">
        <is>
          <t>varchar(1)</t>
        </is>
      </c>
      <c r="F73" s="16" t="n"/>
      <c r="G73" s="15" t="n"/>
      <c r="H73" s="16" t="inlineStr">
        <is>
          <t>N</t>
        </is>
      </c>
      <c r="I73" s="15" t="n"/>
      <c r="J73" s="15" t="n"/>
      <c r="K73" s="15" t="inlineStr">
        <is>
          <t>O-2 · R-6</t>
        </is>
      </c>
      <c r="L73" s="16" t="inlineStr">
        <is>
          <t>기존</t>
        </is>
      </c>
      <c r="M73" s="16" t="inlineStr">
        <is>
          <t>v0.1</t>
        </is>
      </c>
      <c r="N73" s="15" t="n"/>
    </row>
    <row r="74">
      <c r="A74" s="19" t="inlineStr">
        <is>
          <t>diseases</t>
        </is>
      </c>
      <c r="B74" s="15" t="inlineStr">
        <is>
          <t>상병 (KCD)</t>
        </is>
      </c>
      <c r="C74" s="15" t="inlineStr">
        <is>
          <t>age_min</t>
        </is>
      </c>
      <c r="D74" s="15" t="inlineStr">
        <is>
          <t>최소 나이</t>
        </is>
      </c>
      <c r="E74" s="15" t="inlineStr">
        <is>
          <t>smallint</t>
        </is>
      </c>
      <c r="F74" s="16" t="n"/>
      <c r="G74" s="15" t="n"/>
      <c r="H74" s="16" t="inlineStr">
        <is>
          <t>N</t>
        </is>
      </c>
      <c r="I74" s="15" t="n"/>
      <c r="J74" s="15" t="n"/>
      <c r="K74" s="15" t="inlineStr">
        <is>
          <t>O-2 · R-6</t>
        </is>
      </c>
      <c r="L74" s="16" t="inlineStr">
        <is>
          <t>기존</t>
        </is>
      </c>
      <c r="M74" s="16" t="inlineStr">
        <is>
          <t>v0.1</t>
        </is>
      </c>
      <c r="N74" s="15" t="n"/>
    </row>
    <row r="75">
      <c r="A75" s="19" t="inlineStr">
        <is>
          <t>diseases</t>
        </is>
      </c>
      <c r="B75" s="15" t="inlineStr">
        <is>
          <t>상병 (KCD)</t>
        </is>
      </c>
      <c r="C75" s="15" t="inlineStr">
        <is>
          <t>age_max</t>
        </is>
      </c>
      <c r="D75" s="15" t="inlineStr">
        <is>
          <t>최대 나이</t>
        </is>
      </c>
      <c r="E75" s="15" t="inlineStr">
        <is>
          <t>smallint</t>
        </is>
      </c>
      <c r="F75" s="16" t="n"/>
      <c r="G75" s="15" t="n"/>
      <c r="H75" s="16" t="inlineStr">
        <is>
          <t>N</t>
        </is>
      </c>
      <c r="I75" s="15" t="n"/>
      <c r="J75" s="15" t="n"/>
      <c r="K75" s="15" t="inlineStr">
        <is>
          <t>O-2 · R-6</t>
        </is>
      </c>
      <c r="L75" s="16" t="inlineStr">
        <is>
          <t>기존</t>
        </is>
      </c>
      <c r="M75" s="16" t="inlineStr">
        <is>
          <t>v0.1</t>
        </is>
      </c>
      <c r="N75" s="15" t="n"/>
    </row>
    <row r="76">
      <c r="A76" s="19" t="inlineStr">
        <is>
          <t>checkup_items</t>
        </is>
      </c>
      <c r="B76" s="15" t="inlineStr">
        <is>
          <t>건강검진 항목 (보류)</t>
        </is>
      </c>
      <c r="C76" s="15" t="inlineStr">
        <is>
          <t>code</t>
        </is>
      </c>
      <c r="D76" s="15" t="inlineStr">
        <is>
          <t>검사 항목 코드</t>
        </is>
      </c>
      <c r="E76" s="15" t="inlineStr">
        <is>
          <t>varchar(8)</t>
        </is>
      </c>
      <c r="F76" s="16" t="inlineStr">
        <is>
          <t>PK</t>
        </is>
      </c>
      <c r="G76" s="15" t="n"/>
      <c r="H76" s="16" t="inlineStr">
        <is>
          <t>Y</t>
        </is>
      </c>
      <c r="I76" s="15" t="n"/>
      <c r="J76" s="15" t="inlineStr">
        <is>
          <t>건강검진검사항목코드</t>
        </is>
      </c>
      <c r="K76" s="15" t="inlineStr">
        <is>
          <t>REQ-015</t>
        </is>
      </c>
      <c r="L76" s="16" t="inlineStr">
        <is>
          <t>기존</t>
        </is>
      </c>
      <c r="M76" s="16" t="inlineStr">
        <is>
          <t>v0.1</t>
        </is>
      </c>
      <c r="N76" s="15" t="inlineStr">
        <is>
          <t>공단 건강검진검사항목코드 1,953건</t>
        </is>
      </c>
    </row>
    <row r="77">
      <c r="A77" s="19" t="inlineStr">
        <is>
          <t>checkup_items</t>
        </is>
      </c>
      <c r="B77" s="15" t="inlineStr">
        <is>
          <t>건강검진 항목 (보류)</t>
        </is>
      </c>
      <c r="C77" s="15" t="inlineStr">
        <is>
          <t>name</t>
        </is>
      </c>
      <c r="D77" s="15" t="inlineStr">
        <is>
          <t>검사 항목명</t>
        </is>
      </c>
      <c r="E77" s="15" t="inlineStr">
        <is>
          <t>varchar(200)</t>
        </is>
      </c>
      <c r="F77" s="16" t="n"/>
      <c r="G77" s="15" t="n"/>
      <c r="H77" s="16" t="inlineStr">
        <is>
          <t>Y</t>
        </is>
      </c>
      <c r="I77" s="15" t="n"/>
      <c r="J77" s="15" t="n"/>
      <c r="K77" s="15" t="inlineStr">
        <is>
          <t>REQ-015</t>
        </is>
      </c>
      <c r="L77" s="16" t="inlineStr">
        <is>
          <t>기존</t>
        </is>
      </c>
      <c r="M77" s="16" t="inlineStr">
        <is>
          <t>v0.1</t>
        </is>
      </c>
      <c r="N77" s="15" t="n"/>
    </row>
    <row r="78">
      <c r="A78" s="19" t="inlineStr">
        <is>
          <t>checkup_items</t>
        </is>
      </c>
      <c r="B78" s="15" t="inlineStr">
        <is>
          <t>건강검진 항목 (보류)</t>
        </is>
      </c>
      <c r="C78" s="15" t="inlineStr">
        <is>
          <t>type_code</t>
        </is>
      </c>
      <c r="D78" s="15" t="inlineStr">
        <is>
          <t>검진 유형</t>
        </is>
      </c>
      <c r="E78" s="15" t="inlineStr">
        <is>
          <t>varchar(1)</t>
        </is>
      </c>
      <c r="F78" s="16" t="n"/>
      <c r="G78" s="15" t="n"/>
      <c r="H78" s="16" t="inlineStr">
        <is>
          <t>N</t>
        </is>
      </c>
      <c r="I78" s="15" t="n"/>
      <c r="J78" s="15" t="inlineStr">
        <is>
          <t>A=일반건강검진 1차</t>
        </is>
      </c>
      <c r="K78" s="15" t="inlineStr">
        <is>
          <t>REQ-015</t>
        </is>
      </c>
      <c r="L78" s="16" t="inlineStr">
        <is>
          <t>기존</t>
        </is>
      </c>
      <c r="M78" s="16" t="inlineStr">
        <is>
          <t>v0.1</t>
        </is>
      </c>
      <c r="N78" s="15" t="n"/>
    </row>
    <row r="79">
      <c r="A79" s="19" t="inlineStr">
        <is>
          <t>checkup_items</t>
        </is>
      </c>
      <c r="B79" s="15" t="inlineStr">
        <is>
          <t>건강검진 항목 (보류)</t>
        </is>
      </c>
      <c r="C79" s="15" t="inlineStr">
        <is>
          <t>sub_code</t>
        </is>
      </c>
      <c r="D79" s="15" t="inlineStr">
        <is>
          <t>세부 코드</t>
        </is>
      </c>
      <c r="E79" s="15" t="inlineStr">
        <is>
          <t>varchar(4)</t>
        </is>
      </c>
      <c r="F79" s="16" t="n"/>
      <c r="G79" s="15" t="n"/>
      <c r="H79" s="16" t="inlineStr">
        <is>
          <t>N</t>
        </is>
      </c>
      <c r="I79" s="15" t="n"/>
      <c r="J79" s="15" t="n"/>
      <c r="K79" s="15" t="inlineStr">
        <is>
          <t>REQ-015</t>
        </is>
      </c>
      <c r="L79" s="16" t="inlineStr">
        <is>
          <t>기존</t>
        </is>
      </c>
      <c r="M79" s="16" t="inlineStr">
        <is>
          <t>v0.1</t>
        </is>
      </c>
      <c r="N79" s="15" t="n"/>
    </row>
    <row r="80">
      <c r="A80" s="19" t="inlineStr">
        <is>
          <t>lifestyle_guides</t>
        </is>
      </c>
      <c r="B80" s="15" t="inlineStr">
        <is>
          <t>생활습관 팩트</t>
        </is>
      </c>
      <c r="C80" s="15" t="inlineStr">
        <is>
          <t>id</t>
        </is>
      </c>
      <c r="D80" s="15" t="inlineStr">
        <is>
          <t>ID</t>
        </is>
      </c>
      <c r="E80" s="15" t="inlineStr">
        <is>
          <t>bigint</t>
        </is>
      </c>
      <c r="F80" s="16" t="inlineStr">
        <is>
          <t>PK</t>
        </is>
      </c>
      <c r="G80" s="15" t="n"/>
      <c r="H80" s="16" t="inlineStr">
        <is>
          <t>Y</t>
        </is>
      </c>
      <c r="I80" s="15" t="n"/>
      <c r="J80" s="15" t="n"/>
      <c r="K80" s="15" t="inlineStr">
        <is>
          <t>RG-05 · P-1</t>
        </is>
      </c>
      <c r="L80" s="16" t="inlineStr">
        <is>
          <t>기존</t>
        </is>
      </c>
      <c r="M80" s="16" t="inlineStr">
        <is>
          <t>v0.1</t>
        </is>
      </c>
      <c r="N80" s="15" t="inlineStr">
        <is>
          <t>자체 구축 팩트 테이블. 원문 인용이 아닌 사실·수치 기반 (저작권 제약 회피). v1.2 · actions · source 칸 삭제 → lifestyle_guide_actions · lifestyle_guide_sources</t>
        </is>
      </c>
    </row>
    <row r="81">
      <c r="A81" s="19" t="inlineStr">
        <is>
          <t>lifestyle_guides</t>
        </is>
      </c>
      <c r="B81" s="15" t="inlineStr">
        <is>
          <t>생활습관 팩트</t>
        </is>
      </c>
      <c r="C81" s="15" t="inlineStr">
        <is>
          <t>disease_id</t>
        </is>
      </c>
      <c r="D81" s="15" t="inlineStr">
        <is>
          <t>질환 ID</t>
        </is>
      </c>
      <c r="E81" s="15" t="inlineStr">
        <is>
          <t>varchar(10)</t>
        </is>
      </c>
      <c r="F81" s="16" t="n"/>
      <c r="G81" s="15" t="n"/>
      <c r="H81" s="16" t="inlineStr">
        <is>
          <t>N</t>
        </is>
      </c>
      <c r="I81" s="15" t="n"/>
      <c r="J81" s="15" t="inlineStr">
        <is>
          <t>대표 상병기호 또는 질환 그룹 ID</t>
        </is>
      </c>
      <c r="K81" s="15" t="inlineStr">
        <is>
          <t>RG-05 · P-1</t>
        </is>
      </c>
      <c r="L81" s="16" t="inlineStr">
        <is>
          <t>기존</t>
        </is>
      </c>
      <c r="M81" s="16" t="inlineStr">
        <is>
          <t>v0.1</t>
        </is>
      </c>
      <c r="N81" s="15" t="n"/>
    </row>
    <row r="82">
      <c r="A82" s="19" t="inlineStr">
        <is>
          <t>lifestyle_guides</t>
        </is>
      </c>
      <c r="B82" s="15" t="inlineStr">
        <is>
          <t>생활습관 팩트</t>
        </is>
      </c>
      <c r="C82" s="15" t="inlineStr">
        <is>
          <t>category</t>
        </is>
      </c>
      <c r="D82" s="15" t="inlineStr">
        <is>
          <t>분류</t>
        </is>
      </c>
      <c r="E82" s="15" t="inlineStr">
        <is>
          <t>varchar(50)</t>
        </is>
      </c>
      <c r="F82" s="16" t="n"/>
      <c r="G82" s="15" t="n"/>
      <c r="H82" s="16" t="inlineStr">
        <is>
          <t>Y</t>
        </is>
      </c>
      <c r="I82" s="15" t="n"/>
      <c r="J82" s="15" t="inlineStr">
        <is>
          <t>나트륨 / 체중 / 운동 / 절주 / 금연 등</t>
        </is>
      </c>
      <c r="K82" s="15" t="inlineStr">
        <is>
          <t>RG-05 · P-1</t>
        </is>
      </c>
      <c r="L82" s="16" t="inlineStr">
        <is>
          <t>기존</t>
        </is>
      </c>
      <c r="M82" s="16" t="inlineStr">
        <is>
          <t>v0.1</t>
        </is>
      </c>
      <c r="N82" s="15" t="n"/>
    </row>
    <row r="83">
      <c r="A83" s="19" t="inlineStr">
        <is>
          <t>lifestyle_guides</t>
        </is>
      </c>
      <c r="B83" s="15" t="inlineStr">
        <is>
          <t>생활습관 팩트</t>
        </is>
      </c>
      <c r="C83" s="15" t="inlineStr">
        <is>
          <t>goal</t>
        </is>
      </c>
      <c r="D83" s="15" t="inlineStr">
        <is>
          <t>목표 기준</t>
        </is>
      </c>
      <c r="E83" s="15" t="inlineStr">
        <is>
          <t>varchar(300)</t>
        </is>
      </c>
      <c r="F83" s="16" t="n"/>
      <c r="G83" s="15" t="n"/>
      <c r="H83" s="16" t="inlineStr">
        <is>
          <t>N</t>
        </is>
      </c>
      <c r="I83" s="15" t="n"/>
      <c r="J83" s="15" t="inlineStr">
        <is>
          <t>1일 나트륨 2000mg 이하 등</t>
        </is>
      </c>
      <c r="K83" s="15" t="inlineStr">
        <is>
          <t>RG-05 · P-1</t>
        </is>
      </c>
      <c r="L83" s="16" t="inlineStr">
        <is>
          <t>기존</t>
        </is>
      </c>
      <c r="M83" s="16" t="inlineStr">
        <is>
          <t>v0.1</t>
        </is>
      </c>
      <c r="N83" s="15" t="n"/>
    </row>
    <row r="84">
      <c r="A84" s="23" t="inlineStr">
        <is>
          <t>lifestyle_guides</t>
        </is>
      </c>
      <c r="B84" s="24" t="inlineStr">
        <is>
          <t>생활습관 팩트</t>
        </is>
      </c>
      <c r="C84" s="24" t="inlineStr">
        <is>
          <t>source_id</t>
        </is>
      </c>
      <c r="D84" s="24" t="inlineStr">
        <is>
          <t>출처 ID</t>
        </is>
      </c>
      <c r="E84" s="24" t="inlineStr">
        <is>
          <t>bigint</t>
        </is>
      </c>
      <c r="F84" s="25" t="inlineStr">
        <is>
          <t>FK</t>
        </is>
      </c>
      <c r="G84" s="24" t="inlineStr">
        <is>
          <t>lifestyle_guide_sources.id</t>
        </is>
      </c>
      <c r="H84" s="25" t="inlineStr">
        <is>
          <t>N</t>
        </is>
      </c>
      <c r="I84" s="24" t="n"/>
      <c r="J84" s="24" t="inlineStr">
        <is>
          <t>목표 수치의 근거 (source 문자열 대체)</t>
        </is>
      </c>
      <c r="K84" s="24" t="inlineStr">
        <is>
          <t>RG-05 · P-1</t>
        </is>
      </c>
      <c r="L84" s="25" t="inlineStr">
        <is>
          <t>신규</t>
        </is>
      </c>
      <c r="M84" s="25" t="inlineStr">
        <is>
          <t>v1.2</t>
        </is>
      </c>
      <c r="N84" s="24" t="n"/>
    </row>
    <row r="85">
      <c r="A85" s="23" t="inlineStr">
        <is>
          <t>lifestyle_guide_actions</t>
        </is>
      </c>
      <c r="B85" s="24" t="inlineStr">
        <is>
          <t>생활습관 실천 항목</t>
        </is>
      </c>
      <c r="C85" s="24" t="inlineStr">
        <is>
          <t>id</t>
        </is>
      </c>
      <c r="D85" s="24" t="inlineStr">
        <is>
          <t>ID</t>
        </is>
      </c>
      <c r="E85" s="24" t="inlineStr">
        <is>
          <t>bigint</t>
        </is>
      </c>
      <c r="F85" s="25" t="inlineStr">
        <is>
          <t>PK</t>
        </is>
      </c>
      <c r="G85" s="24" t="n"/>
      <c r="H85" s="25" t="inlineStr">
        <is>
          <t>Y</t>
        </is>
      </c>
      <c r="I85" s="24" t="n"/>
      <c r="J85" s="24" t="n"/>
      <c r="K85" s="24" t="inlineStr">
        <is>
          <t>RG-05 · R-4 · P-1</t>
        </is>
      </c>
      <c r="L85" s="25" t="inlineStr">
        <is>
          <t>신규</t>
        </is>
      </c>
      <c r="M85" s="25" t="inlineStr">
        <is>
          <t>v1.2</t>
        </is>
      </c>
      <c r="N85" s="24" t="inlineStr">
        <is>
          <t>v1.2 신규 · 행동별 출처 추적 (리뷰 지적 5)</t>
        </is>
      </c>
    </row>
    <row r="86">
      <c r="A86" s="23" t="inlineStr">
        <is>
          <t>lifestyle_guide_actions</t>
        </is>
      </c>
      <c r="B86" s="24" t="inlineStr">
        <is>
          <t>생활습관 실천 항목</t>
        </is>
      </c>
      <c r="C86" s="24" t="inlineStr">
        <is>
          <t>guide_id</t>
        </is>
      </c>
      <c r="D86" s="24" t="inlineStr">
        <is>
          <t>안내문 ID</t>
        </is>
      </c>
      <c r="E86" s="24" t="inlineStr">
        <is>
          <t>bigint</t>
        </is>
      </c>
      <c r="F86" s="25" t="inlineStr">
        <is>
          <t>FK</t>
        </is>
      </c>
      <c r="G86" s="24" t="inlineStr">
        <is>
          <t>lifestyle_guides.id</t>
        </is>
      </c>
      <c r="H86" s="25" t="inlineStr">
        <is>
          <t>Y</t>
        </is>
      </c>
      <c r="I86" s="24" t="n"/>
      <c r="J86" s="24" t="n"/>
      <c r="K86" s="24" t="inlineStr">
        <is>
          <t>RG-05 · R-4 · P-1</t>
        </is>
      </c>
      <c r="L86" s="25" t="inlineStr">
        <is>
          <t>신규</t>
        </is>
      </c>
      <c r="M86" s="25" t="inlineStr">
        <is>
          <t>v1.2</t>
        </is>
      </c>
      <c r="N86" s="24" t="n"/>
    </row>
    <row r="87">
      <c r="A87" s="23" t="inlineStr">
        <is>
          <t>lifestyle_guide_actions</t>
        </is>
      </c>
      <c r="B87" s="24" t="inlineStr">
        <is>
          <t>생활습관 실천 항목</t>
        </is>
      </c>
      <c r="C87" s="24" t="inlineStr">
        <is>
          <t>action_text</t>
        </is>
      </c>
      <c r="D87" s="24" t="inlineStr">
        <is>
          <t>실천 방법</t>
        </is>
      </c>
      <c r="E87" s="24" t="inlineStr">
        <is>
          <t>varchar(300)</t>
        </is>
      </c>
      <c r="F87" s="25" t="n"/>
      <c r="G87" s="24" t="n"/>
      <c r="H87" s="25" t="inlineStr">
        <is>
          <t>Y</t>
        </is>
      </c>
      <c r="I87" s="24" t="n"/>
      <c r="J87" s="24" t="inlineStr">
        <is>
          <t>국물은 남기고, 하루 소금 5g 이하로 등</t>
        </is>
      </c>
      <c r="K87" s="24" t="inlineStr">
        <is>
          <t>RG-05 · R-4 · P-1</t>
        </is>
      </c>
      <c r="L87" s="25" t="inlineStr">
        <is>
          <t>신규</t>
        </is>
      </c>
      <c r="M87" s="25" t="inlineStr">
        <is>
          <t>v1.2</t>
        </is>
      </c>
      <c r="N87" s="24" t="n"/>
    </row>
    <row r="88">
      <c r="A88" s="23" t="inlineStr">
        <is>
          <t>lifestyle_guide_actions</t>
        </is>
      </c>
      <c r="B88" s="24" t="inlineStr">
        <is>
          <t>생활습관 실천 항목</t>
        </is>
      </c>
      <c r="C88" s="24" t="inlineStr">
        <is>
          <t>source_id</t>
        </is>
      </c>
      <c r="D88" s="24" t="inlineStr">
        <is>
          <t>출처 ID</t>
        </is>
      </c>
      <c r="E88" s="24" t="inlineStr">
        <is>
          <t>bigint</t>
        </is>
      </c>
      <c r="F88" s="25" t="inlineStr">
        <is>
          <t>FK</t>
        </is>
      </c>
      <c r="G88" s="24" t="inlineStr">
        <is>
          <t>lifestyle_guide_sources.id</t>
        </is>
      </c>
      <c r="H88" s="25" t="inlineStr">
        <is>
          <t>Y</t>
        </is>
      </c>
      <c r="I88" s="24" t="n"/>
      <c r="J88" s="24" t="inlineStr">
        <is>
          <t>실천 항목마다 근거 1개 이상</t>
        </is>
      </c>
      <c r="K88" s="24" t="inlineStr">
        <is>
          <t>RG-05 · R-4 · P-1</t>
        </is>
      </c>
      <c r="L88" s="25" t="inlineStr">
        <is>
          <t>신규</t>
        </is>
      </c>
      <c r="M88" s="25" t="inlineStr">
        <is>
          <t>v1.2</t>
        </is>
      </c>
      <c r="N88" s="24" t="n"/>
    </row>
    <row r="89">
      <c r="A89" s="23" t="inlineStr">
        <is>
          <t>lifestyle_guide_actions</t>
        </is>
      </c>
      <c r="B89" s="24" t="inlineStr">
        <is>
          <t>생활습관 실천 항목</t>
        </is>
      </c>
      <c r="C89" s="24" t="inlineStr">
        <is>
          <t>goal_eligible</t>
        </is>
      </c>
      <c r="D89" s="24" t="inlineStr">
        <is>
          <t>목표 가능 여부</t>
        </is>
      </c>
      <c r="E89" s="24" t="inlineStr">
        <is>
          <t>boolean</t>
        </is>
      </c>
      <c r="F89" s="25" t="n"/>
      <c r="G89" s="24" t="n"/>
      <c r="H89" s="25" t="inlineStr">
        <is>
          <t>Y</t>
        </is>
      </c>
      <c r="I89" s="24" t="inlineStr">
        <is>
          <t>true</t>
        </is>
      </c>
      <c r="J89" s="24" t="inlineStr">
        <is>
          <t>false면 실천 목표(RW-02)로 만들지 않음</t>
        </is>
      </c>
      <c r="K89" s="24" t="inlineStr">
        <is>
          <t>RG-05 · R-4 · P-1</t>
        </is>
      </c>
      <c r="L89" s="25" t="inlineStr">
        <is>
          <t>신규</t>
        </is>
      </c>
      <c r="M89" s="25" t="inlineStr">
        <is>
          <t>v1.2</t>
        </is>
      </c>
      <c r="N89" s="24" t="n"/>
    </row>
    <row r="90">
      <c r="A90" s="23" t="inlineStr">
        <is>
          <t>lifestyle_guide_actions</t>
        </is>
      </c>
      <c r="B90" s="24" t="inlineStr">
        <is>
          <t>생활습관 실천 항목</t>
        </is>
      </c>
      <c r="C90" s="24" t="inlineStr">
        <is>
          <t>sort_order</t>
        </is>
      </c>
      <c r="D90" s="24" t="inlineStr">
        <is>
          <t>표시 순서</t>
        </is>
      </c>
      <c r="E90" s="24" t="inlineStr">
        <is>
          <t>smallint</t>
        </is>
      </c>
      <c r="F90" s="25" t="n"/>
      <c r="G90" s="24" t="n"/>
      <c r="H90" s="25" t="inlineStr">
        <is>
          <t>N</t>
        </is>
      </c>
      <c r="I90" s="24" t="n"/>
      <c r="J90" s="24" t="n"/>
      <c r="K90" s="24" t="inlineStr">
        <is>
          <t>RG-05 · R-4 · P-1</t>
        </is>
      </c>
      <c r="L90" s="25" t="inlineStr">
        <is>
          <t>신규</t>
        </is>
      </c>
      <c r="M90" s="25" t="inlineStr">
        <is>
          <t>v1.2</t>
        </is>
      </c>
      <c r="N90" s="24" t="n"/>
    </row>
    <row r="91">
      <c r="A91" s="23" t="inlineStr">
        <is>
          <t>lifestyle_guide_sources</t>
        </is>
      </c>
      <c r="B91" s="24" t="inlineStr">
        <is>
          <t>생활습관 근거 출처</t>
        </is>
      </c>
      <c r="C91" s="24" t="inlineStr">
        <is>
          <t>id</t>
        </is>
      </c>
      <c r="D91" s="24" t="inlineStr">
        <is>
          <t>ID</t>
        </is>
      </c>
      <c r="E91" s="24" t="inlineStr">
        <is>
          <t>bigint</t>
        </is>
      </c>
      <c r="F91" s="25" t="inlineStr">
        <is>
          <t>PK</t>
        </is>
      </c>
      <c r="G91" s="24" t="n"/>
      <c r="H91" s="25" t="inlineStr">
        <is>
          <t>Y</t>
        </is>
      </c>
      <c r="I91" s="24" t="n"/>
      <c r="J91" s="24" t="n"/>
      <c r="K91" s="24" t="inlineStr">
        <is>
          <t>RG-05 · R-4</t>
        </is>
      </c>
      <c r="L91" s="25" t="inlineStr">
        <is>
          <t>신규</t>
        </is>
      </c>
      <c r="M91" s="25" t="inlineStr">
        <is>
          <t>v1.2</t>
        </is>
      </c>
      <c r="N91" s="24" t="inlineStr">
        <is>
          <t>v1.2 신규 · 화면 · API에 기관 · 문서명 · 발행일 · URL을 그대로 보여줌</t>
        </is>
      </c>
    </row>
    <row r="92">
      <c r="A92" s="23" t="inlineStr">
        <is>
          <t>lifestyle_guide_sources</t>
        </is>
      </c>
      <c r="B92" s="24" t="inlineStr">
        <is>
          <t>생활습관 근거 출처</t>
        </is>
      </c>
      <c r="C92" s="24" t="inlineStr">
        <is>
          <t>org</t>
        </is>
      </c>
      <c r="D92" s="24" t="inlineStr">
        <is>
          <t>기관</t>
        </is>
      </c>
      <c r="E92" s="24" t="inlineStr">
        <is>
          <t>varchar(100)</t>
        </is>
      </c>
      <c r="F92" s="25" t="n"/>
      <c r="G92" s="24" t="n"/>
      <c r="H92" s="25" t="inlineStr">
        <is>
          <t>Y</t>
        </is>
      </c>
      <c r="I92" s="24" t="n"/>
      <c r="J92" s="24" t="inlineStr">
        <is>
          <t>질병관리청 / 대한고혈압학회 등</t>
        </is>
      </c>
      <c r="K92" s="24" t="inlineStr">
        <is>
          <t>RG-05 · R-4</t>
        </is>
      </c>
      <c r="L92" s="25" t="inlineStr">
        <is>
          <t>신규</t>
        </is>
      </c>
      <c r="M92" s="25" t="inlineStr">
        <is>
          <t>v1.2</t>
        </is>
      </c>
      <c r="N92" s="24" t="n"/>
    </row>
    <row r="93">
      <c r="A93" s="23" t="inlineStr">
        <is>
          <t>lifestyle_guide_sources</t>
        </is>
      </c>
      <c r="B93" s="24" t="inlineStr">
        <is>
          <t>생활습관 근거 출처</t>
        </is>
      </c>
      <c r="C93" s="24" t="inlineStr">
        <is>
          <t>title</t>
        </is>
      </c>
      <c r="D93" s="24" t="inlineStr">
        <is>
          <t>문서명</t>
        </is>
      </c>
      <c r="E93" s="24" t="inlineStr">
        <is>
          <t>varchar(300)</t>
        </is>
      </c>
      <c r="F93" s="25" t="n"/>
      <c r="G93" s="24" t="n"/>
      <c r="H93" s="25" t="inlineStr">
        <is>
          <t>Y</t>
        </is>
      </c>
      <c r="I93" s="24" t="n"/>
      <c r="J93" s="24" t="inlineStr">
        <is>
          <t>문서명 (지침 · 포털 글 제목)</t>
        </is>
      </c>
      <c r="K93" s="24" t="inlineStr">
        <is>
          <t>RG-05 · R-4</t>
        </is>
      </c>
      <c r="L93" s="25" t="inlineStr">
        <is>
          <t>신규</t>
        </is>
      </c>
      <c r="M93" s="25" t="inlineStr">
        <is>
          <t>v1.2</t>
        </is>
      </c>
      <c r="N93" s="24" t="n"/>
    </row>
    <row r="94">
      <c r="A94" s="23" t="inlineStr">
        <is>
          <t>lifestyle_guide_sources</t>
        </is>
      </c>
      <c r="B94" s="24" t="inlineStr">
        <is>
          <t>생활습관 근거 출처</t>
        </is>
      </c>
      <c r="C94" s="24" t="inlineStr">
        <is>
          <t>edition</t>
        </is>
      </c>
      <c r="D94" s="24" t="inlineStr">
        <is>
          <t>판 · 버전</t>
        </is>
      </c>
      <c r="E94" s="24" t="inlineStr">
        <is>
          <t>varchar(50)</t>
        </is>
      </c>
      <c r="F94" s="25" t="n"/>
      <c r="G94" s="24" t="n"/>
      <c r="H94" s="25" t="inlineStr">
        <is>
          <t>N</t>
        </is>
      </c>
      <c r="I94" s="24" t="n"/>
      <c r="J94" s="24" t="inlineStr">
        <is>
          <t>판 · 버전 (예: 2022 개정판)</t>
        </is>
      </c>
      <c r="K94" s="24" t="inlineStr">
        <is>
          <t>RG-05 · R-4</t>
        </is>
      </c>
      <c r="L94" s="25" t="inlineStr">
        <is>
          <t>신규</t>
        </is>
      </c>
      <c r="M94" s="25" t="inlineStr">
        <is>
          <t>v1.2</t>
        </is>
      </c>
      <c r="N94" s="24" t="n"/>
    </row>
    <row r="95">
      <c r="A95" s="23" t="inlineStr">
        <is>
          <t>lifestyle_guide_sources</t>
        </is>
      </c>
      <c r="B95" s="24" t="inlineStr">
        <is>
          <t>생활습관 근거 출처</t>
        </is>
      </c>
      <c r="C95" s="24" t="inlineStr">
        <is>
          <t>published_date</t>
        </is>
      </c>
      <c r="D95" s="24" t="inlineStr">
        <is>
          <t>발행일</t>
        </is>
      </c>
      <c r="E95" s="24" t="inlineStr">
        <is>
          <t>date</t>
        </is>
      </c>
      <c r="F95" s="25" t="n"/>
      <c r="G95" s="24" t="n"/>
      <c r="H95" s="25" t="inlineStr">
        <is>
          <t>N</t>
        </is>
      </c>
      <c r="I95" s="24" t="n"/>
      <c r="J95" s="24" t="inlineStr">
        <is>
          <t>발행일 · 개정일</t>
        </is>
      </c>
      <c r="K95" s="24" t="inlineStr">
        <is>
          <t>RG-05 · R-4</t>
        </is>
      </c>
      <c r="L95" s="25" t="inlineStr">
        <is>
          <t>신규</t>
        </is>
      </c>
      <c r="M95" s="25" t="inlineStr">
        <is>
          <t>v1.2</t>
        </is>
      </c>
      <c r="N95" s="24" t="n"/>
    </row>
    <row r="96">
      <c r="A96" s="23" t="inlineStr">
        <is>
          <t>lifestyle_guide_sources</t>
        </is>
      </c>
      <c r="B96" s="24" t="inlineStr">
        <is>
          <t>생활습관 근거 출처</t>
        </is>
      </c>
      <c r="C96" s="24" t="inlineStr">
        <is>
          <t>url</t>
        </is>
      </c>
      <c r="D96" s="24" t="inlineStr">
        <is>
          <t>URL</t>
        </is>
      </c>
      <c r="E96" s="24" t="inlineStr">
        <is>
          <t>varchar(500)</t>
        </is>
      </c>
      <c r="F96" s="25" t="n"/>
      <c r="G96" s="24" t="n"/>
      <c r="H96" s="25" t="inlineStr">
        <is>
          <t>N</t>
        </is>
      </c>
      <c r="I96" s="24" t="n"/>
      <c r="J96" s="24" t="n"/>
      <c r="K96" s="24" t="inlineStr">
        <is>
          <t>RG-05 · R-4</t>
        </is>
      </c>
      <c r="L96" s="25" t="inlineStr">
        <is>
          <t>신규</t>
        </is>
      </c>
      <c r="M96" s="25" t="inlineStr">
        <is>
          <t>v1.2</t>
        </is>
      </c>
      <c r="N96" s="24" t="n"/>
    </row>
    <row r="97">
      <c r="A97" s="23" t="inlineStr">
        <is>
          <t>lifestyle_guide_sources</t>
        </is>
      </c>
      <c r="B97" s="24" t="inlineStr">
        <is>
          <t>생활습관 근거 출처</t>
        </is>
      </c>
      <c r="C97" s="24" t="inlineStr">
        <is>
          <t>identifier</t>
        </is>
      </c>
      <c r="D97" s="24" t="inlineStr">
        <is>
          <t>문서 식별자</t>
        </is>
      </c>
      <c r="E97" s="24" t="inlineStr">
        <is>
          <t>varchar(100)</t>
        </is>
      </c>
      <c r="F97" s="25" t="n"/>
      <c r="G97" s="24" t="n"/>
      <c r="H97" s="25" t="inlineStr">
        <is>
          <t>N</t>
        </is>
      </c>
      <c r="I97" s="24" t="n"/>
      <c r="J97" s="24" t="inlineStr">
        <is>
          <t>DOI · ISBN · 문서번호 등</t>
        </is>
      </c>
      <c r="K97" s="24" t="inlineStr">
        <is>
          <t>RG-05 · R-4</t>
        </is>
      </c>
      <c r="L97" s="25" t="inlineStr">
        <is>
          <t>신규</t>
        </is>
      </c>
      <c r="M97" s="25" t="inlineStr">
        <is>
          <t>v1.2</t>
        </is>
      </c>
      <c r="N97" s="24" t="n"/>
    </row>
    <row r="98">
      <c r="A98" s="23" t="inlineStr">
        <is>
          <t>lifestyle_guide_sources</t>
        </is>
      </c>
      <c r="B98" s="24" t="inlineStr">
        <is>
          <t>생활습관 근거 출처</t>
        </is>
      </c>
      <c r="C98" s="24" t="inlineStr">
        <is>
          <t>accessed_date</t>
        </is>
      </c>
      <c r="D98" s="24" t="inlineStr">
        <is>
          <t>확인일</t>
        </is>
      </c>
      <c r="E98" s="24" t="inlineStr">
        <is>
          <t>date</t>
        </is>
      </c>
      <c r="F98" s="25" t="n"/>
      <c r="G98" s="24" t="n"/>
      <c r="H98" s="25" t="inlineStr">
        <is>
          <t>N</t>
        </is>
      </c>
      <c r="I98" s="24" t="n"/>
      <c r="J98" s="24" t="inlineStr">
        <is>
          <t>마지막 확인일 — 갱신 점검용</t>
        </is>
      </c>
      <c r="K98" s="24" t="inlineStr">
        <is>
          <t>RG-05 · R-4</t>
        </is>
      </c>
      <c r="L98" s="25" t="inlineStr">
        <is>
          <t>신규</t>
        </is>
      </c>
      <c r="M98" s="25" t="inlineStr">
        <is>
          <t>v1.2</t>
        </is>
      </c>
      <c r="N98" s="24" t="n"/>
    </row>
    <row r="99">
      <c r="A99" s="19" t="inlineStr">
        <is>
          <t>lifestyle_medication_links</t>
        </is>
      </c>
      <c r="B99" s="15" t="inlineStr">
        <is>
          <t>약-생활수칙 연결</t>
        </is>
      </c>
      <c r="C99" s="15" t="inlineStr">
        <is>
          <t>id</t>
        </is>
      </c>
      <c r="D99" s="15" t="inlineStr">
        <is>
          <t>ID</t>
        </is>
      </c>
      <c r="E99" s="15" t="inlineStr">
        <is>
          <t>bigint</t>
        </is>
      </c>
      <c r="F99" s="16" t="inlineStr">
        <is>
          <t>PK</t>
        </is>
      </c>
      <c r="G99" s="15" t="n"/>
      <c r="H99" s="16" t="inlineStr">
        <is>
          <t>Y</t>
        </is>
      </c>
      <c r="I99" s="15" t="n"/>
      <c r="J99" s="15" t="n"/>
      <c r="K99" s="15" t="inlineStr">
        <is>
          <t>RG-05 · P-1</t>
        </is>
      </c>
      <c r="L99" s="16" t="inlineStr">
        <is>
          <t>기존</t>
        </is>
      </c>
      <c r="M99" s="16" t="inlineStr">
        <is>
          <t>v0.1</t>
        </is>
      </c>
      <c r="N99" s="15" t="inlineStr">
        <is>
          <t>⭐ 차별점 — 복용 약물과 생활수칙을 연결. 약 정보만으로도, 질환 정보만으로도 안 나오는 안내</t>
        </is>
      </c>
    </row>
    <row r="100">
      <c r="A100" s="19" t="inlineStr">
        <is>
          <t>lifestyle_medication_links</t>
        </is>
      </c>
      <c r="B100" s="15" t="inlineStr">
        <is>
          <t>약-생활수칙 연결</t>
        </is>
      </c>
      <c r="C100" s="15" t="inlineStr">
        <is>
          <t>guide_id</t>
        </is>
      </c>
      <c r="D100" s="15" t="inlineStr">
        <is>
          <t>안내문 ID</t>
        </is>
      </c>
      <c r="E100" s="15" t="inlineStr">
        <is>
          <t>bigint</t>
        </is>
      </c>
      <c r="F100" s="16" t="inlineStr">
        <is>
          <t>FK</t>
        </is>
      </c>
      <c r="G100" s="15" t="inlineStr">
        <is>
          <t>lifestyle_guides.id</t>
        </is>
      </c>
      <c r="H100" s="16" t="inlineStr">
        <is>
          <t>N</t>
        </is>
      </c>
      <c r="I100" s="15" t="n"/>
      <c r="J100" s="15" t="n"/>
      <c r="K100" s="15" t="inlineStr">
        <is>
          <t>RG-05 · P-1</t>
        </is>
      </c>
      <c r="L100" s="16" t="inlineStr">
        <is>
          <t>기존</t>
        </is>
      </c>
      <c r="M100" s="16" t="inlineStr">
        <is>
          <t>v0.1</t>
        </is>
      </c>
      <c r="N100" s="15" t="n"/>
    </row>
    <row r="101">
      <c r="A101" s="19" t="inlineStr">
        <is>
          <t>lifestyle_medication_links</t>
        </is>
      </c>
      <c r="B101" s="15" t="inlineStr">
        <is>
          <t>약-생활수칙 연결</t>
        </is>
      </c>
      <c r="C101" s="15" t="inlineStr">
        <is>
          <t>drug_class</t>
        </is>
      </c>
      <c r="D101" s="15" t="inlineStr">
        <is>
          <t>약 계열</t>
        </is>
      </c>
      <c r="E101" s="15" t="inlineStr">
        <is>
          <t>varchar(200)</t>
        </is>
      </c>
      <c r="F101" s="16" t="n"/>
      <c r="G101" s="15" t="n"/>
      <c r="H101" s="16" t="inlineStr">
        <is>
          <t>N</t>
        </is>
      </c>
      <c r="I101" s="15" t="n"/>
      <c r="J101" s="15" t="inlineStr">
        <is>
          <t>이뇨제 / 와파린 / 스타틴 등</t>
        </is>
      </c>
      <c r="K101" s="15" t="inlineStr">
        <is>
          <t>RG-05 · P-1</t>
        </is>
      </c>
      <c r="L101" s="16" t="inlineStr">
        <is>
          <t>기존</t>
        </is>
      </c>
      <c r="M101" s="16" t="inlineStr">
        <is>
          <t>v0.1</t>
        </is>
      </c>
      <c r="N101" s="15" t="n"/>
    </row>
    <row r="102">
      <c r="A102" s="19" t="inlineStr">
        <is>
          <t>lifestyle_medication_links</t>
        </is>
      </c>
      <c r="B102" s="15" t="inlineStr">
        <is>
          <t>약-생활수칙 연결</t>
        </is>
      </c>
      <c r="C102" s="15" t="inlineStr">
        <is>
          <t>caution</t>
        </is>
      </c>
      <c r="D102" s="15" t="inlineStr">
        <is>
          <t>주의</t>
        </is>
      </c>
      <c r="E102" s="15" t="inlineStr">
        <is>
          <t>text</t>
        </is>
      </c>
      <c r="F102" s="16" t="n"/>
      <c r="G102" s="15" t="n"/>
      <c r="H102" s="16" t="inlineStr">
        <is>
          <t>N</t>
        </is>
      </c>
      <c r="I102" s="15" t="n"/>
      <c r="J102" s="15" t="n"/>
      <c r="K102" s="15" t="inlineStr">
        <is>
          <t>RG-05 · P-1</t>
        </is>
      </c>
      <c r="L102" s="16" t="inlineStr">
        <is>
          <t>기존</t>
        </is>
      </c>
      <c r="M102" s="16" t="inlineStr">
        <is>
          <t>v0.1</t>
        </is>
      </c>
      <c r="N102" s="15" t="n"/>
    </row>
    <row r="103">
      <c r="A103" s="19" t="inlineStr">
        <is>
          <t>lifestyle_medication_links</t>
        </is>
      </c>
      <c r="B103" s="15" t="inlineStr">
        <is>
          <t>약-생활수칙 연결</t>
        </is>
      </c>
      <c r="C103" s="15" t="inlineStr">
        <is>
          <t>advice</t>
        </is>
      </c>
      <c r="D103" s="15" t="inlineStr">
        <is>
          <t>생활 수칙</t>
        </is>
      </c>
      <c r="E103" s="15" t="inlineStr">
        <is>
          <t>text</t>
        </is>
      </c>
      <c r="F103" s="16" t="n"/>
      <c r="G103" s="15" t="n"/>
      <c r="H103" s="16" t="inlineStr">
        <is>
          <t>N</t>
        </is>
      </c>
      <c r="I103" s="15" t="n"/>
      <c r="J103" s="15" t="n"/>
      <c r="K103" s="15" t="inlineStr">
        <is>
          <t>RG-05 · P-1</t>
        </is>
      </c>
      <c r="L103" s="16" t="inlineStr">
        <is>
          <t>기존</t>
        </is>
      </c>
      <c r="M103" s="16" t="inlineStr">
        <is>
          <t>v0.1</t>
        </is>
      </c>
      <c r="N103" s="15" t="n"/>
    </row>
    <row r="104">
      <c r="A104" s="23" t="inlineStr">
        <is>
          <t>lifestyle_medication_links</t>
        </is>
      </c>
      <c r="B104" s="24" t="inlineStr">
        <is>
          <t>약-생활수칙 연결</t>
        </is>
      </c>
      <c r="C104" s="24" t="inlineStr">
        <is>
          <t>source_id</t>
        </is>
      </c>
      <c r="D104" s="24" t="inlineStr">
        <is>
          <t>출처 ID</t>
        </is>
      </c>
      <c r="E104" s="24" t="inlineStr">
        <is>
          <t>bigint</t>
        </is>
      </c>
      <c r="F104" s="25" t="inlineStr">
        <is>
          <t>FK</t>
        </is>
      </c>
      <c r="G104" s="24" t="inlineStr">
        <is>
          <t>lifestyle_guide_sources.id</t>
        </is>
      </c>
      <c r="H104" s="25" t="inlineStr">
        <is>
          <t>N</t>
        </is>
      </c>
      <c r="I104" s="24" t="n"/>
      <c r="J104" s="24" t="inlineStr">
        <is>
          <t>근거 출처</t>
        </is>
      </c>
      <c r="K104" s="24" t="inlineStr">
        <is>
          <t>RG-05 · P-1</t>
        </is>
      </c>
      <c r="L104" s="25" t="inlineStr">
        <is>
          <t>신규</t>
        </is>
      </c>
      <c r="M104" s="25" t="inlineStr">
        <is>
          <t>v1.2</t>
        </is>
      </c>
      <c r="N104" s="24" t="n"/>
    </row>
    <row r="105">
      <c r="A105" s="23" t="inlineStr">
        <is>
          <t>lifestyle_medication_links</t>
        </is>
      </c>
      <c r="B105" s="24" t="inlineStr">
        <is>
          <t>약-생활수칙 연결</t>
        </is>
      </c>
      <c r="C105" s="24" t="inlineStr">
        <is>
          <t>requires_clinician</t>
        </is>
      </c>
      <c r="D105" s="24" t="inlineStr">
        <is>
          <t>의료진 확인 필요</t>
        </is>
      </c>
      <c r="E105" s="24" t="inlineStr">
        <is>
          <t>boolean</t>
        </is>
      </c>
      <c r="F105" s="25" t="n"/>
      <c r="G105" s="24" t="n"/>
      <c r="H105" s="25" t="inlineStr">
        <is>
          <t>Y</t>
        </is>
      </c>
      <c r="I105" s="24" t="inlineStr">
        <is>
          <t>false</t>
        </is>
      </c>
      <c r="J105" s="24" t="inlineStr">
        <is>
          <t>true면 "의료진 확인" 안내로만 표시 (예: 이뇨제 · ACE억제제/ARB와 칼륨)</t>
        </is>
      </c>
      <c r="K105" s="24" t="inlineStr">
        <is>
          <t>RG-05 · P-1</t>
        </is>
      </c>
      <c r="L105" s="25" t="inlineStr">
        <is>
          <t>신규</t>
        </is>
      </c>
      <c r="M105" s="25" t="inlineStr">
        <is>
          <t>v1.2</t>
        </is>
      </c>
      <c r="N105" s="24" t="n"/>
    </row>
    <row r="106">
      <c r="A106" s="23" t="inlineStr">
        <is>
          <t>lifestyle_medication_links</t>
        </is>
      </c>
      <c r="B106" s="24" t="inlineStr">
        <is>
          <t>약-생활수칙 연결</t>
        </is>
      </c>
      <c r="C106" s="24" t="inlineStr">
        <is>
          <t>goal_eligible</t>
        </is>
      </c>
      <c r="D106" s="24" t="inlineStr">
        <is>
          <t>목표 가능 여부</t>
        </is>
      </c>
      <c r="E106" s="24" t="inlineStr">
        <is>
          <t>boolean</t>
        </is>
      </c>
      <c r="F106" s="25" t="n"/>
      <c r="G106" s="24" t="n"/>
      <c r="H106" s="25" t="inlineStr">
        <is>
          <t>Y</t>
        </is>
      </c>
      <c r="I106" s="24" t="inlineStr">
        <is>
          <t>true</t>
        </is>
      </c>
      <c r="J106" s="24" t="inlineStr">
        <is>
          <t>false면 실천 목표로 만들지 않음</t>
        </is>
      </c>
      <c r="K106" s="24" t="inlineStr">
        <is>
          <t>RG-05 · P-1</t>
        </is>
      </c>
      <c r="L106" s="25" t="inlineStr">
        <is>
          <t>신규</t>
        </is>
      </c>
      <c r="M106" s="25" t="inlineStr">
        <is>
          <t>v1.2</t>
        </is>
      </c>
      <c r="N106" s="24" t="n"/>
    </row>
  </sheetData>
  <autoFilter ref="A4:N106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26" customWidth="1" min="4" max="4"/>
    <col width="46" customWidth="1" min="5" max="5"/>
    <col width="48" customWidth="1" min="6" max="6"/>
    <col width="10" customWidth="1" min="7" max="7"/>
    <col width="44" customWidth="1" min="8" max="8"/>
  </cols>
  <sheetData>
    <row r="1">
      <c r="A1" s="41" t="inlineStr">
        <is>
          <t>ERD v1.3 · FHIR 대응</t>
        </is>
      </c>
    </row>
    <row r="2">
      <c r="A2" s="42" t="inlineStr">
        <is>
          <t>HL7 FHIR R4 (4.0.1) 기준 · R5는 표시. 우리 구조는 국내 공공데이터 코드(KCD · 심평원 EDI · 식약처 DUR) 기준이고, 병원 시스템과 연동하거나 표준으로 내보낼 때 아래 대응을 씀</t>
        </is>
      </c>
    </row>
    <row r="3">
      <c r="A3" s="29" t="inlineStr">
        <is>
          <t>대응 수준 — 일치: 그대로 옮김 (초록) / 변환: 값 · 구조를 바꿔 옮김 / 확장: 표준 요소 없음 → extension · 자체 코드 (노랑) / FHIR 외: 서비스 내부 정보라 옮기지 않음 (회색)</t>
        </is>
      </c>
    </row>
    <row r="5">
      <c r="A5" s="13" t="inlineStr">
        <is>
          <t>영역</t>
        </is>
      </c>
      <c r="B5" s="13" t="inlineStr">
        <is>
          <t>테이블</t>
        </is>
      </c>
      <c r="C5" s="13" t="inlineStr">
        <is>
          <t>필드</t>
        </is>
      </c>
      <c r="D5" s="13" t="inlineStr">
        <is>
          <t>FHIR 리소스</t>
        </is>
      </c>
      <c r="E5" s="13" t="inlineStr">
        <is>
          <t>FHIR 요소 (경로)</t>
        </is>
      </c>
      <c r="F5" s="13" t="inlineStr">
        <is>
          <t>값 변환 · 코드</t>
        </is>
      </c>
      <c r="G5" s="13" t="inlineStr">
        <is>
          <t>대응 수준</t>
        </is>
      </c>
      <c r="H5" s="13" t="inlineStr">
        <is>
          <t>비고</t>
        </is>
      </c>
    </row>
    <row r="6">
      <c r="A6" s="16" t="inlineStr">
        <is>
          <t>사용자</t>
        </is>
      </c>
      <c r="B6" s="19" t="inlineStr">
        <is>
          <t>users</t>
        </is>
      </c>
      <c r="C6" s="15" t="inlineStr">
        <is>
          <t>(테이블)</t>
        </is>
      </c>
      <c r="D6" s="14" t="inlineStr">
        <is>
          <t>Patient</t>
        </is>
      </c>
      <c r="E6" s="15" t="inlineStr">
        <is>
          <t>Patient</t>
        </is>
      </c>
      <c r="F6" s="15" t="inlineStr"/>
      <c r="G6" s="16" t="inlineStr">
        <is>
          <t>변환</t>
        </is>
      </c>
      <c r="H6" s="15" t="inlineStr">
        <is>
          <t>서비스 사용자 = 환자(Patient). 인증 정보는 FHIR 범위 밖</t>
        </is>
      </c>
    </row>
    <row r="7">
      <c r="A7" s="30" t="inlineStr">
        <is>
          <t>사용자</t>
        </is>
      </c>
      <c r="B7" s="31" t="inlineStr">
        <is>
          <t>users</t>
        </is>
      </c>
      <c r="C7" s="32" t="inlineStr">
        <is>
          <t>id</t>
        </is>
      </c>
      <c r="D7" s="32" t="inlineStr">
        <is>
          <t>Patient</t>
        </is>
      </c>
      <c r="E7" s="32" t="inlineStr">
        <is>
          <t>Patient.id</t>
        </is>
      </c>
      <c r="F7" s="32" t="inlineStr"/>
      <c r="G7" s="30" t="inlineStr">
        <is>
          <t>일치</t>
        </is>
      </c>
      <c r="H7" s="32" t="inlineStr"/>
    </row>
    <row r="8">
      <c r="A8" s="30" t="inlineStr">
        <is>
          <t>사용자</t>
        </is>
      </c>
      <c r="B8" s="31" t="inlineStr">
        <is>
          <t>users</t>
        </is>
      </c>
      <c r="C8" s="32" t="inlineStr">
        <is>
          <t>birth_year</t>
        </is>
      </c>
      <c r="D8" s="32" t="inlineStr">
        <is>
          <t>Patient</t>
        </is>
      </c>
      <c r="E8" s="32" t="inlineStr">
        <is>
          <t>Patient.birthDate</t>
        </is>
      </c>
      <c r="F8" s="32" t="inlineStr">
        <is>
          <t>연도만 "1955" 형식 (FHIR date는 YYYY 허용)</t>
        </is>
      </c>
      <c r="G8" s="30" t="inlineStr">
        <is>
          <t>일치</t>
        </is>
      </c>
      <c r="H8" s="32" t="inlineStr">
        <is>
          <t>최소 수집 원칙과 FHIR 모두 충족</t>
        </is>
      </c>
    </row>
    <row r="9">
      <c r="A9" s="16" t="inlineStr">
        <is>
          <t>사용자</t>
        </is>
      </c>
      <c r="B9" s="33" t="inlineStr">
        <is>
          <t>users</t>
        </is>
      </c>
      <c r="C9" s="15" t="inlineStr">
        <is>
          <t>sex</t>
        </is>
      </c>
      <c r="D9" s="15" t="inlineStr">
        <is>
          <t>Patient</t>
        </is>
      </c>
      <c r="E9" s="15" t="inlineStr">
        <is>
          <t>Patient.gender</t>
        </is>
      </c>
      <c r="F9" s="15" t="inlineStr">
        <is>
          <t>M → male / F → female</t>
        </is>
      </c>
      <c r="G9" s="16" t="inlineStr">
        <is>
          <t>변환</t>
        </is>
      </c>
      <c r="H9" s="15" t="inlineStr">
        <is>
          <t>AdministrativeGender 값셋</t>
        </is>
      </c>
    </row>
    <row r="10">
      <c r="A10" s="16" t="inlineStr">
        <is>
          <t>사용자</t>
        </is>
      </c>
      <c r="B10" s="33" t="inlineStr">
        <is>
          <t>users</t>
        </is>
      </c>
      <c r="C10" s="15" t="inlineStr">
        <is>
          <t>deleted_at</t>
        </is>
      </c>
      <c r="D10" s="15" t="inlineStr">
        <is>
          <t>Patient</t>
        </is>
      </c>
      <c r="E10" s="15" t="inlineStr">
        <is>
          <t>Patient.active</t>
        </is>
      </c>
      <c r="F10" s="15" t="inlineStr">
        <is>
          <t>탈퇴 시 active = false</t>
        </is>
      </c>
      <c r="G10" s="16" t="inlineStr">
        <is>
          <t>변환</t>
        </is>
      </c>
      <c r="H10" s="15" t="inlineStr"/>
    </row>
    <row r="11">
      <c r="A11" s="30" t="inlineStr">
        <is>
          <t>사용자</t>
        </is>
      </c>
      <c r="B11" s="31" t="inlineStr">
        <is>
          <t>users</t>
        </is>
      </c>
      <c r="C11" s="32" t="inlineStr">
        <is>
          <t>updated_at</t>
        </is>
      </c>
      <c r="D11" s="32" t="inlineStr">
        <is>
          <t>Patient</t>
        </is>
      </c>
      <c r="E11" s="32" t="inlineStr">
        <is>
          <t>Patient.meta.lastUpdated</t>
        </is>
      </c>
      <c r="F11" s="32" t="inlineStr"/>
      <c r="G11" s="30" t="inlineStr">
        <is>
          <t>일치</t>
        </is>
      </c>
      <c r="H11" s="32" t="inlineStr"/>
    </row>
    <row r="12">
      <c r="A12" s="34" t="inlineStr">
        <is>
          <t>사용자</t>
        </is>
      </c>
      <c r="B12" s="35" t="inlineStr">
        <is>
          <t>users</t>
        </is>
      </c>
      <c r="C12" s="36" t="inlineStr">
        <is>
          <t>login_id · password_hash · failed_login_count · locked_until</t>
        </is>
      </c>
      <c r="D12" s="36" t="inlineStr">
        <is>
          <t>—</t>
        </is>
      </c>
      <c r="E12" s="36" t="inlineStr">
        <is>
          <t>—</t>
        </is>
      </c>
      <c r="F12" s="36" t="inlineStr"/>
      <c r="G12" s="34" t="inlineStr">
        <is>
          <t>FHIR 외</t>
        </is>
      </c>
      <c r="H12" s="36" t="inlineStr">
        <is>
          <t>계정 · 인증 정보 (FHIR 리소스에 넣지 않음)</t>
        </is>
      </c>
    </row>
    <row r="13">
      <c r="A13" s="16" t="inlineStr">
        <is>
          <t>사용자</t>
        </is>
      </c>
      <c r="B13" s="19" t="inlineStr">
        <is>
          <t>user_consents</t>
        </is>
      </c>
      <c r="C13" s="15" t="inlineStr">
        <is>
          <t>(테이블)</t>
        </is>
      </c>
      <c r="D13" s="14" t="inlineStr">
        <is>
          <t>Consent</t>
        </is>
      </c>
      <c r="E13" s="15" t="inlineStr">
        <is>
          <t>Consent</t>
        </is>
      </c>
      <c r="F13" s="15" t="inlineStr"/>
      <c r="G13" s="16" t="inlineStr">
        <is>
          <t>변환</t>
        </is>
      </c>
      <c r="H13" s="15" t="inlineStr">
        <is>
          <t>동의 1건 = Consent 1개</t>
        </is>
      </c>
    </row>
    <row r="14">
      <c r="A14" s="30" t="inlineStr">
        <is>
          <t>사용자</t>
        </is>
      </c>
      <c r="B14" s="31" t="inlineStr">
        <is>
          <t>user_consents</t>
        </is>
      </c>
      <c r="C14" s="32" t="inlineStr">
        <is>
          <t>user_id</t>
        </is>
      </c>
      <c r="D14" s="32" t="inlineStr">
        <is>
          <t>Consent</t>
        </is>
      </c>
      <c r="E14" s="32" t="inlineStr">
        <is>
          <t>Consent.patient</t>
        </is>
      </c>
      <c r="F14" s="32" t="inlineStr">
        <is>
          <t>Reference(Patient)</t>
        </is>
      </c>
      <c r="G14" s="30" t="inlineStr">
        <is>
          <t>일치</t>
        </is>
      </c>
      <c r="H14" s="32" t="inlineStr"/>
    </row>
    <row r="15">
      <c r="A15" s="22" t="inlineStr">
        <is>
          <t>사용자</t>
        </is>
      </c>
      <c r="B15" s="37" t="inlineStr">
        <is>
          <t>user_consents</t>
        </is>
      </c>
      <c r="C15" s="21" t="inlineStr">
        <is>
          <t>consent_type</t>
        </is>
      </c>
      <c r="D15" s="21" t="inlineStr">
        <is>
          <t>Consent</t>
        </is>
      </c>
      <c r="E15" s="21" t="inlineStr">
        <is>
          <t>Consent.category</t>
        </is>
      </c>
      <c r="F15" s="21" t="inlineStr">
        <is>
          <t>terms / privacy / sensitive_health → 자체 코드</t>
        </is>
      </c>
      <c r="G15" s="22" t="inlineStr">
        <is>
          <t>확장</t>
        </is>
      </c>
      <c r="H15" s="21" t="inlineStr">
        <is>
          <t>국내 개인정보 동의 구분은 표준 코드 없음</t>
        </is>
      </c>
    </row>
    <row r="16">
      <c r="A16" s="16" t="inlineStr">
        <is>
          <t>사용자</t>
        </is>
      </c>
      <c r="B16" s="33" t="inlineStr">
        <is>
          <t>user_consents</t>
        </is>
      </c>
      <c r="C16" s="15" t="inlineStr">
        <is>
          <t>agreed</t>
        </is>
      </c>
      <c r="D16" s="15" t="inlineStr">
        <is>
          <t>Consent</t>
        </is>
      </c>
      <c r="E16" s="15" t="inlineStr">
        <is>
          <t>Consent.provision.type</t>
        </is>
      </c>
      <c r="F16" s="15" t="inlineStr">
        <is>
          <t>true → permit / false → deny</t>
        </is>
      </c>
      <c r="G16" s="16" t="inlineStr">
        <is>
          <t>변환</t>
        </is>
      </c>
      <c r="H16" s="15" t="inlineStr"/>
    </row>
    <row r="17">
      <c r="A17" s="30" t="inlineStr">
        <is>
          <t>사용자</t>
        </is>
      </c>
      <c r="B17" s="31" t="inlineStr">
        <is>
          <t>user_consents</t>
        </is>
      </c>
      <c r="C17" s="32" t="inlineStr">
        <is>
          <t>agreed_at</t>
        </is>
      </c>
      <c r="D17" s="32" t="inlineStr">
        <is>
          <t>Consent</t>
        </is>
      </c>
      <c r="E17" s="32" t="inlineStr">
        <is>
          <t>Consent.dateTime</t>
        </is>
      </c>
      <c r="F17" s="32" t="inlineStr"/>
      <c r="G17" s="30" t="inlineStr">
        <is>
          <t>일치</t>
        </is>
      </c>
      <c r="H17" s="32" t="inlineStr"/>
    </row>
    <row r="18">
      <c r="A18" s="16" t="inlineStr">
        <is>
          <t>사용자</t>
        </is>
      </c>
      <c r="B18" s="33" t="inlineStr">
        <is>
          <t>user_consents</t>
        </is>
      </c>
      <c r="C18" s="15" t="inlineStr">
        <is>
          <t>withdrawn_at</t>
        </is>
      </c>
      <c r="D18" s="15" t="inlineStr">
        <is>
          <t>Consent</t>
        </is>
      </c>
      <c r="E18" s="15" t="inlineStr">
        <is>
          <t>Consent.status</t>
        </is>
      </c>
      <c r="F18" s="15" t="inlineStr">
        <is>
          <t>철회 시 status = inactive (철회 시각은 새 Consent의 dateTime)</t>
        </is>
      </c>
      <c r="G18" s="16" t="inlineStr">
        <is>
          <t>변환</t>
        </is>
      </c>
      <c r="H18" s="15" t="inlineStr"/>
    </row>
    <row r="19">
      <c r="A19" s="16" t="inlineStr">
        <is>
          <t>입력</t>
        </is>
      </c>
      <c r="B19" s="19" t="inlineStr">
        <is>
          <t>prescriptions</t>
        </is>
      </c>
      <c r="C19" s="15" t="inlineStr">
        <is>
          <t>(테이블)</t>
        </is>
      </c>
      <c r="D19" s="14" t="inlineStr">
        <is>
          <t>MedicationRequest 묶음 · DocumentReference</t>
        </is>
      </c>
      <c r="E19" s="15" t="inlineStr">
        <is>
          <t>MedicationRequest.groupIdentifier</t>
        </is>
      </c>
      <c r="F19" s="15" t="inlineStr">
        <is>
          <t>처방전 1장 = 같은 groupIdentifier를 가진 MedicationRequest 여러 개</t>
        </is>
      </c>
      <c r="G19" s="16" t="inlineStr">
        <is>
          <t>변환</t>
        </is>
      </c>
      <c r="H19" s="15" t="inlineStr">
        <is>
          <t>사진 · OCR 원문은 DocumentReference로 분리</t>
        </is>
      </c>
    </row>
    <row r="20">
      <c r="A20" s="16" t="inlineStr">
        <is>
          <t>입력</t>
        </is>
      </c>
      <c r="B20" s="33" t="inlineStr">
        <is>
          <t>prescriptions</t>
        </is>
      </c>
      <c r="C20" s="15" t="inlineStr">
        <is>
          <t>doc_type</t>
        </is>
      </c>
      <c r="D20" s="15" t="inlineStr">
        <is>
          <t>MedicationRequest / MedicationDispense</t>
        </is>
      </c>
      <c r="E20" s="15" t="inlineStr">
        <is>
          <t>—</t>
        </is>
      </c>
      <c r="F20" s="15" t="inlineStr">
        <is>
          <t>prescription(처방전) → MedicationRequest / pill_bag(약봉투) → MedicationDispense</t>
        </is>
      </c>
      <c r="G20" s="16" t="inlineStr">
        <is>
          <t>변환</t>
        </is>
      </c>
      <c r="H20" s="15" t="inlineStr">
        <is>
          <t>처방전은 "처방", 약봉투는 "조제" 기록이라 FHIR 리소스가 다름</t>
        </is>
      </c>
    </row>
    <row r="21">
      <c r="A21" s="30" t="inlineStr">
        <is>
          <t>입력</t>
        </is>
      </c>
      <c r="B21" s="31" t="inlineStr">
        <is>
          <t>prescriptions</t>
        </is>
      </c>
      <c r="C21" s="32" t="inlineStr">
        <is>
          <t>issued_date</t>
        </is>
      </c>
      <c r="D21" s="32" t="inlineStr">
        <is>
          <t>MedicationRequest</t>
        </is>
      </c>
      <c r="E21" s="32" t="inlineStr">
        <is>
          <t>MedicationRequest.authoredOn</t>
        </is>
      </c>
      <c r="F21" s="32" t="inlineStr"/>
      <c r="G21" s="30" t="inlineStr">
        <is>
          <t>일치</t>
        </is>
      </c>
      <c r="H21" s="32" t="inlineStr">
        <is>
          <t>약봉투는 MedicationDispense.whenHandedOver</t>
        </is>
      </c>
    </row>
    <row r="22">
      <c r="A22" s="16" t="inlineStr">
        <is>
          <t>입력</t>
        </is>
      </c>
      <c r="B22" s="33" t="inlineStr">
        <is>
          <t>prescriptions</t>
        </is>
      </c>
      <c r="C22" s="15" t="inlineStr">
        <is>
          <t>hospital_name</t>
        </is>
      </c>
      <c r="D22" s="15" t="inlineStr">
        <is>
          <t>Organization</t>
        </is>
      </c>
      <c r="E22" s="15" t="inlineStr">
        <is>
          <t>MedicationRequest.requester → Organization.name</t>
        </is>
      </c>
      <c r="F22" s="15" t="inlineStr"/>
      <c r="G22" s="16" t="inlineStr">
        <is>
          <t>변환</t>
        </is>
      </c>
      <c r="H22" s="15" t="inlineStr">
        <is>
          <t>병원을 Organization으로 참조</t>
        </is>
      </c>
    </row>
    <row r="23">
      <c r="A23" s="16" t="inlineStr">
        <is>
          <t>입력</t>
        </is>
      </c>
      <c r="B23" s="33" t="inlineStr">
        <is>
          <t>prescriptions</t>
        </is>
      </c>
      <c r="C23" s="15" t="inlineStr">
        <is>
          <t>ocr_raw_text</t>
        </is>
      </c>
      <c r="D23" s="15" t="inlineStr">
        <is>
          <t>DocumentReference</t>
        </is>
      </c>
      <c r="E23" s="15" t="inlineStr">
        <is>
          <t>DocumentReference.content.attachment</t>
        </is>
      </c>
      <c r="F23" s="15" t="inlineStr">
        <is>
          <t>텍스트 첨부 (원본 이미지는 저장하지 않음)</t>
        </is>
      </c>
      <c r="G23" s="16" t="inlineStr">
        <is>
          <t>변환</t>
        </is>
      </c>
      <c r="H23" s="15" t="inlineStr">
        <is>
          <t>10/15부터 원문을 저장하지 않아 비어 있음</t>
        </is>
      </c>
    </row>
    <row r="24">
      <c r="A24" s="22" t="inlineStr">
        <is>
          <t>입력</t>
        </is>
      </c>
      <c r="B24" s="37" t="inlineStr">
        <is>
          <t>prescriptions</t>
        </is>
      </c>
      <c r="C24" s="21" t="inlineStr">
        <is>
          <t>ocr_confidence · quality_flag</t>
        </is>
      </c>
      <c r="D24" s="21" t="inlineStr">
        <is>
          <t>—</t>
        </is>
      </c>
      <c r="E24" s="21" t="inlineStr">
        <is>
          <t>extension</t>
        </is>
      </c>
      <c r="F24" s="21" t="inlineStr"/>
      <c r="G24" s="22" t="inlineStr">
        <is>
          <t>확장</t>
        </is>
      </c>
      <c r="H24" s="21" t="inlineStr">
        <is>
          <t>OCR 품질 정보는 표준 요소 없음</t>
        </is>
      </c>
    </row>
    <row r="25">
      <c r="A25" s="22" t="inlineStr">
        <is>
          <t>입력</t>
        </is>
      </c>
      <c r="B25" s="37" t="inlineStr">
        <is>
          <t>prescriptions</t>
        </is>
      </c>
      <c r="C25" s="21" t="inlineStr">
        <is>
          <t>notices</t>
        </is>
      </c>
      <c r="D25" s="21" t="inlineStr">
        <is>
          <t>—</t>
        </is>
      </c>
      <c r="E25" s="21" t="inlineStr">
        <is>
          <t>extension</t>
        </is>
      </c>
      <c r="F25" s="21" t="n"/>
      <c r="G25" s="22" t="inlineStr">
        <is>
          <t>확장</t>
        </is>
      </c>
      <c r="H25" s="21" t="inlineStr">
        <is>
          <t>OCR 읽기 확인 표시는 내부 처리 정보</t>
        </is>
      </c>
    </row>
    <row r="26">
      <c r="A26" s="22" t="inlineStr">
        <is>
          <t>입력</t>
        </is>
      </c>
      <c r="B26" s="37" t="inlineStr">
        <is>
          <t>prescriptions</t>
        </is>
      </c>
      <c r="C26" s="21" t="inlineStr">
        <is>
          <t>content_key</t>
        </is>
      </c>
      <c r="D26" s="21" t="inlineStr">
        <is>
          <t>—</t>
        </is>
      </c>
      <c r="E26" s="21" t="inlineStr">
        <is>
          <t>—</t>
        </is>
      </c>
      <c r="F26" s="21" t="n"/>
      <c r="G26" s="22" t="inlineStr">
        <is>
          <t>FHIR 외</t>
        </is>
      </c>
      <c r="H26" s="21" t="inlineStr">
        <is>
          <t>같은 처방전 판별용 내부 값</t>
        </is>
      </c>
    </row>
    <row r="27">
      <c r="A27" s="16" t="inlineStr">
        <is>
          <t>입력</t>
        </is>
      </c>
      <c r="B27" s="19" t="inlineStr">
        <is>
          <t>ocr_jobs</t>
        </is>
      </c>
      <c r="C27" s="15" t="inlineStr">
        <is>
          <t>(테이블)</t>
        </is>
      </c>
      <c r="D27" s="14" t="inlineStr">
        <is>
          <t>Task</t>
        </is>
      </c>
      <c r="E27" s="15" t="inlineStr">
        <is>
          <t>Task</t>
        </is>
      </c>
      <c r="F27" s="15" t="inlineStr">
        <is>
          <t>queued → requested / running → in-progress / done → completed / failed → failed</t>
        </is>
      </c>
      <c r="G27" s="16" t="inlineStr">
        <is>
          <t>변환</t>
        </is>
      </c>
      <c r="H27" s="15" t="inlineStr">
        <is>
          <t>v1.2 · OCR 비동기 작업</t>
        </is>
      </c>
    </row>
    <row r="28">
      <c r="A28" s="16" t="inlineStr">
        <is>
          <t>입력</t>
        </is>
      </c>
      <c r="B28" s="19" t="inlineStr">
        <is>
          <t>ocr_jobs</t>
        </is>
      </c>
      <c r="C28" s="15" t="inlineStr">
        <is>
          <t>duplicates</t>
        </is>
      </c>
      <c r="D28" s="14" t="inlineStr">
        <is>
          <t>—</t>
        </is>
      </c>
      <c r="E28" s="15" t="inlineStr">
        <is>
          <t>extension</t>
        </is>
      </c>
      <c r="F28" s="15" t="n"/>
      <c r="G28" s="16" t="inlineStr">
        <is>
          <t>확장</t>
        </is>
      </c>
      <c r="H28" s="15" t="inlineStr">
        <is>
          <t>중복 사진 기록은 내부 처리 정보</t>
        </is>
      </c>
    </row>
    <row r="29">
      <c r="A29" s="16" t="inlineStr">
        <is>
          <t>입력</t>
        </is>
      </c>
      <c r="B29" s="19" t="inlineStr">
        <is>
          <t>prescription_diseases</t>
        </is>
      </c>
      <c r="C29" s="15" t="inlineStr">
        <is>
          <t>(테이블)</t>
        </is>
      </c>
      <c r="D29" s="14" t="inlineStr">
        <is>
          <t>Condition</t>
        </is>
      </c>
      <c r="E29" s="15" t="inlineStr">
        <is>
          <t>Condition</t>
        </is>
      </c>
      <c r="F29" s="15" t="inlineStr">
        <is>
          <t>처방전 질병분류기호 1개 = Condition 1개</t>
        </is>
      </c>
      <c r="G29" s="16" t="inlineStr">
        <is>
          <t>변환</t>
        </is>
      </c>
      <c r="H29" s="15" t="inlineStr">
        <is>
          <t>MedicationRequest.reasonReference로 연결</t>
        </is>
      </c>
    </row>
    <row r="30">
      <c r="A30" s="16" t="inlineStr">
        <is>
          <t>입력</t>
        </is>
      </c>
      <c r="B30" s="33" t="inlineStr">
        <is>
          <t>prescription_diseases</t>
        </is>
      </c>
      <c r="C30" s="15" t="inlineStr">
        <is>
          <t>disease_code</t>
        </is>
      </c>
      <c r="D30" s="15" t="inlineStr">
        <is>
          <t>Condition</t>
        </is>
      </c>
      <c r="E30" s="15" t="inlineStr">
        <is>
          <t>Condition.code.coding</t>
        </is>
      </c>
      <c r="F30" s="15" t="inlineStr">
        <is>
          <t>system = KCD (코드 시스템 URI 팀 정의 필요)</t>
        </is>
      </c>
      <c r="G30" s="16" t="inlineStr">
        <is>
          <t>변환</t>
        </is>
      </c>
      <c r="H30" s="15" t="inlineStr">
        <is>
          <t>KCD는 ICD-10 기반이라 ICD-10 코드 병기 가능</t>
        </is>
      </c>
    </row>
    <row r="31">
      <c r="A31" s="16" t="inlineStr">
        <is>
          <t>입력</t>
        </is>
      </c>
      <c r="B31" s="33" t="inlineStr">
        <is>
          <t>prescription_diseases</t>
        </is>
      </c>
      <c r="C31" s="15" t="inlineStr">
        <is>
          <t>is_main</t>
        </is>
      </c>
      <c r="D31" s="15" t="inlineStr">
        <is>
          <t>Encounter</t>
        </is>
      </c>
      <c r="E31" s="15" t="inlineStr">
        <is>
          <t>Encounter.diagnosis.rank</t>
        </is>
      </c>
      <c r="F31" s="15" t="inlineStr">
        <is>
          <t>주상병 → rank 1</t>
        </is>
      </c>
      <c r="G31" s="16" t="inlineStr">
        <is>
          <t>변환</t>
        </is>
      </c>
      <c r="H31" s="15" t="inlineStr">
        <is>
          <t>진료(Encounter) 정보가 없으면 extension</t>
        </is>
      </c>
    </row>
    <row r="32">
      <c r="A32" s="30" t="inlineStr">
        <is>
          <t>입력</t>
        </is>
      </c>
      <c r="B32" s="38" t="inlineStr">
        <is>
          <t>prescription_items</t>
        </is>
      </c>
      <c r="C32" s="32" t="inlineStr">
        <is>
          <t>(테이블)</t>
        </is>
      </c>
      <c r="D32" s="39" t="inlineStr">
        <is>
          <t>MedicationRequest</t>
        </is>
      </c>
      <c r="E32" s="32" t="inlineStr">
        <is>
          <t>MedicationRequest</t>
        </is>
      </c>
      <c r="F32" s="32" t="inlineStr">
        <is>
          <t>약 1줄 = MedicationRequest 1개</t>
        </is>
      </c>
      <c r="G32" s="30" t="inlineStr">
        <is>
          <t>일치</t>
        </is>
      </c>
      <c r="H32" s="32" t="inlineStr"/>
    </row>
    <row r="33">
      <c r="A33" s="16" t="inlineStr">
        <is>
          <t>입력</t>
        </is>
      </c>
      <c r="B33" s="33" t="inlineStr">
        <is>
          <t>prescription_items</t>
        </is>
      </c>
      <c r="C33" s="15" t="inlineStr">
        <is>
          <t>edi_code</t>
        </is>
      </c>
      <c r="D33" s="15" t="inlineStr">
        <is>
          <t>MedicationRequest</t>
        </is>
      </c>
      <c r="E33" s="15" t="inlineStr">
        <is>
          <t>MedicationRequest.medicationCodeableConcept.coding</t>
        </is>
      </c>
      <c r="F33" s="15" t="inlineStr">
        <is>
          <t>system = 심평원 EDI 제품코드</t>
        </is>
      </c>
      <c r="G33" s="16" t="inlineStr">
        <is>
          <t>변환</t>
        </is>
      </c>
      <c r="H33" s="15" t="inlineStr"/>
    </row>
    <row r="34">
      <c r="A34" s="30" t="inlineStr">
        <is>
          <t>입력</t>
        </is>
      </c>
      <c r="B34" s="31" t="inlineStr">
        <is>
          <t>prescription_items</t>
        </is>
      </c>
      <c r="C34" s="32" t="inlineStr">
        <is>
          <t>raw_name</t>
        </is>
      </c>
      <c r="D34" s="32" t="inlineStr">
        <is>
          <t>MedicationRequest</t>
        </is>
      </c>
      <c r="E34" s="32" t="inlineStr">
        <is>
          <t>MedicationRequest.medicationCodeableConcept.text</t>
        </is>
      </c>
      <c r="F34" s="32" t="inlineStr">
        <is>
          <t>OCR이 읽은 원문 약품명</t>
        </is>
      </c>
      <c r="G34" s="30" t="inlineStr">
        <is>
          <t>일치</t>
        </is>
      </c>
      <c r="H34" s="32" t="inlineStr">
        <is>
          <t>매칭 실패해도 text는 남음</t>
        </is>
      </c>
    </row>
    <row r="35">
      <c r="A35" s="30" t="inlineStr">
        <is>
          <t>입력</t>
        </is>
      </c>
      <c r="B35" s="31" t="inlineStr">
        <is>
          <t>prescription_items</t>
        </is>
      </c>
      <c r="C35" s="32" t="inlineStr">
        <is>
          <t>dose_per_time</t>
        </is>
      </c>
      <c r="D35" s="32" t="inlineStr">
        <is>
          <t>MedicationRequest</t>
        </is>
      </c>
      <c r="E35" s="32" t="inlineStr">
        <is>
          <t>MedicationRequest.dosageInstruction.doseAndRate.doseQuantity</t>
        </is>
      </c>
      <c r="F35" s="32" t="inlineStr"/>
      <c r="G35" s="30" t="inlineStr">
        <is>
          <t>일치</t>
        </is>
      </c>
      <c r="H35" s="32" t="inlineStr"/>
    </row>
    <row r="36">
      <c r="A36" s="16" t="inlineStr">
        <is>
          <t>입력</t>
        </is>
      </c>
      <c r="B36" s="33" t="inlineStr">
        <is>
          <t>prescription_items</t>
        </is>
      </c>
      <c r="C36" s="15" t="inlineStr">
        <is>
          <t>times_per_day</t>
        </is>
      </c>
      <c r="D36" s="15" t="inlineStr">
        <is>
          <t>MedicationRequest</t>
        </is>
      </c>
      <c r="E36" s="15" t="inlineStr">
        <is>
          <t>MedicationRequest.dosageInstruction.timing.repeat.frequency</t>
        </is>
      </c>
      <c r="F36" s="15" t="inlineStr">
        <is>
          <t>period = 1, periodUnit = d</t>
        </is>
      </c>
      <c r="G36" s="16" t="inlineStr">
        <is>
          <t>변환</t>
        </is>
      </c>
      <c r="H36" s="15" t="inlineStr"/>
    </row>
    <row r="37">
      <c r="A37" s="16" t="inlineStr">
        <is>
          <t>입력</t>
        </is>
      </c>
      <c r="B37" s="33" t="inlineStr">
        <is>
          <t>prescription_items</t>
        </is>
      </c>
      <c r="C37" s="15" t="inlineStr">
        <is>
          <t>total_days</t>
        </is>
      </c>
      <c r="D37" s="15" t="inlineStr">
        <is>
          <t>MedicationRequest</t>
        </is>
      </c>
      <c r="E37" s="15" t="inlineStr">
        <is>
          <t>MedicationRequest.dispenseRequest.expectedSupplyDuration</t>
        </is>
      </c>
      <c r="F37" s="15" t="inlineStr">
        <is>
          <t>단위 d(일)</t>
        </is>
      </c>
      <c r="G37" s="16" t="inlineStr">
        <is>
          <t>변환</t>
        </is>
      </c>
      <c r="H37" s="15" t="inlineStr"/>
    </row>
    <row r="38">
      <c r="A38" s="16" t="inlineStr">
        <is>
          <t>입력</t>
        </is>
      </c>
      <c r="B38" s="33" t="inlineStr">
        <is>
          <t>prescription_items</t>
        </is>
      </c>
      <c r="C38" s="15" t="inlineStr">
        <is>
          <t>timing</t>
        </is>
      </c>
      <c r="D38" s="15" t="inlineStr">
        <is>
          <t>MedicationRequest</t>
        </is>
      </c>
      <c r="E38" s="15" t="inlineStr">
        <is>
          <t>MedicationRequest.dosageInstruction.timing.repeat.when</t>
        </is>
      </c>
      <c r="F38" s="15" t="inlineStr">
        <is>
          <t>아침 식후 → PCM, 저녁 식후 → PCV, 취침 전 → HS 등 + text 원문</t>
        </is>
      </c>
      <c r="G38" s="16" t="inlineStr">
        <is>
          <t>변환</t>
        </is>
      </c>
      <c r="H38" s="15" t="inlineStr"/>
    </row>
    <row r="39">
      <c r="A39" s="16" t="inlineStr">
        <is>
          <t>입력</t>
        </is>
      </c>
      <c r="B39" s="33" t="inlineStr">
        <is>
          <t>prescription_items</t>
        </is>
      </c>
      <c r="C39" s="15" t="inlineStr">
        <is>
          <t>guidance</t>
        </is>
      </c>
      <c r="D39" s="15" t="inlineStr">
        <is>
          <t>MedicationRequest</t>
        </is>
      </c>
      <c r="E39" s="15" t="inlineStr">
        <is>
          <t>MedicationRequest.dosageInstruction.patientInstruction</t>
        </is>
      </c>
      <c r="F39" s="15" t="inlineStr">
        <is>
          <t>문장 목록 → 줄바꿈으로 이어 붙인 text</t>
        </is>
      </c>
      <c r="G39" s="16" t="inlineStr">
        <is>
          <t>변환</t>
        </is>
      </c>
      <c r="H39" s="15" t="n"/>
    </row>
    <row r="40">
      <c r="A40" s="16" t="inlineStr">
        <is>
          <t>입력</t>
        </is>
      </c>
      <c r="B40" s="33" t="inlineStr">
        <is>
          <t>prescription_items</t>
        </is>
      </c>
      <c r="C40" s="15" t="inlineStr">
        <is>
          <t>suggested_by</t>
        </is>
      </c>
      <c r="D40" s="15" t="inlineStr">
        <is>
          <t>—</t>
        </is>
      </c>
      <c r="E40" s="15" t="inlineStr">
        <is>
          <t>—</t>
        </is>
      </c>
      <c r="F40" s="15" t="n"/>
      <c r="G40" s="16" t="inlineStr">
        <is>
          <t>FHIR 외</t>
        </is>
      </c>
      <c r="H40" s="15" t="inlineStr">
        <is>
          <t>화면 표시용 추천 출처</t>
        </is>
      </c>
    </row>
    <row r="41">
      <c r="A41" s="22" t="inlineStr">
        <is>
          <t>입력</t>
        </is>
      </c>
      <c r="B41" s="37" t="inlineStr">
        <is>
          <t>prescription_items</t>
        </is>
      </c>
      <c r="C41" s="21" t="inlineStr">
        <is>
          <t>match_status · match_score</t>
        </is>
      </c>
      <c r="D41" s="21" t="inlineStr">
        <is>
          <t>—</t>
        </is>
      </c>
      <c r="E41" s="21" t="inlineStr">
        <is>
          <t>extension</t>
        </is>
      </c>
      <c r="F41" s="21" t="inlineStr"/>
      <c r="G41" s="22" t="inlineStr">
        <is>
          <t>확장</t>
        </is>
      </c>
      <c r="H41" s="21" t="inlineStr">
        <is>
          <t>약품 매칭 상태는 내부 처리 정보</t>
        </is>
      </c>
    </row>
    <row r="42">
      <c r="A42" s="34" t="inlineStr">
        <is>
          <t>입력</t>
        </is>
      </c>
      <c r="B42" s="40" t="inlineStr">
        <is>
          <t>prescription_item_candidates</t>
        </is>
      </c>
      <c r="C42" s="36" t="inlineStr">
        <is>
          <t>(테이블)</t>
        </is>
      </c>
      <c r="D42" s="17" t="inlineStr">
        <is>
          <t>—</t>
        </is>
      </c>
      <c r="E42" s="36" t="inlineStr">
        <is>
          <t>—</t>
        </is>
      </c>
      <c r="F42" s="36" t="inlineStr"/>
      <c r="G42" s="34" t="inlineStr">
        <is>
          <t>FHIR 외</t>
        </is>
      </c>
      <c r="H42" s="36" t="inlineStr">
        <is>
          <t>약품 매칭 후보 (내부 처리)</t>
        </is>
      </c>
    </row>
    <row r="43">
      <c r="A43" s="16" t="inlineStr">
        <is>
          <t>입력</t>
        </is>
      </c>
      <c r="B43" s="19" t="inlineStr">
        <is>
          <t>health_checkups · checkup_results</t>
        </is>
      </c>
      <c r="C43" s="15" t="inlineStr">
        <is>
          <t>(테이블)</t>
        </is>
      </c>
      <c r="D43" s="14" t="inlineStr">
        <is>
          <t>DiagnosticReport · Observation</t>
        </is>
      </c>
      <c r="E43" s="15" t="inlineStr">
        <is>
          <t>Observation.code / valueQuantity</t>
        </is>
      </c>
      <c r="F43" s="15" t="inlineStr">
        <is>
          <t>검진 항목 코드 → Observation.code</t>
        </is>
      </c>
      <c r="G43" s="16" t="inlineStr">
        <is>
          <t>변환</t>
        </is>
      </c>
      <c r="H43" s="15" t="inlineStr">
        <is>
          <t>보류 (REQ-015)</t>
        </is>
      </c>
    </row>
    <row r="44">
      <c r="A44" s="16" t="inlineStr">
        <is>
          <t>분석</t>
        </is>
      </c>
      <c r="B44" s="19" t="inlineStr">
        <is>
          <t>analyses</t>
        </is>
      </c>
      <c r="C44" s="15" t="inlineStr">
        <is>
          <t>(테이블)</t>
        </is>
      </c>
      <c r="D44" s="14" t="inlineStr">
        <is>
          <t>Task</t>
        </is>
      </c>
      <c r="E44" s="15" t="inlineStr">
        <is>
          <t>Task</t>
        </is>
      </c>
      <c r="F44" s="15" t="inlineStr">
        <is>
          <t>분석 작업 1건 = Task 1개</t>
        </is>
      </c>
      <c r="G44" s="16" t="inlineStr">
        <is>
          <t>변환</t>
        </is>
      </c>
      <c r="H44" s="15" t="inlineStr">
        <is>
          <t>비동기 작업 상태를 Task로 표현</t>
        </is>
      </c>
    </row>
    <row r="45">
      <c r="A45" s="16" t="inlineStr">
        <is>
          <t>분석</t>
        </is>
      </c>
      <c r="B45" s="33" t="inlineStr">
        <is>
          <t>analyses</t>
        </is>
      </c>
      <c r="C45" s="15" t="inlineStr">
        <is>
          <t>status</t>
        </is>
      </c>
      <c r="D45" s="15" t="inlineStr">
        <is>
          <t>Task</t>
        </is>
      </c>
      <c r="E45" s="15" t="inlineStr">
        <is>
          <t>Task.status</t>
        </is>
      </c>
      <c r="F45" s="15" t="inlineStr">
        <is>
          <t>queued → requested / running → in-progress / done → completed / failed → failed</t>
        </is>
      </c>
      <c r="G45" s="16" t="inlineStr">
        <is>
          <t>변환</t>
        </is>
      </c>
      <c r="H45" s="15" t="inlineStr"/>
    </row>
    <row r="46">
      <c r="A46" s="22" t="inlineStr">
        <is>
          <t>분석</t>
        </is>
      </c>
      <c r="B46" s="37" t="inlineStr">
        <is>
          <t>analyses</t>
        </is>
      </c>
      <c r="C46" s="21" t="inlineStr">
        <is>
          <t>current_step · failed_step · retry_count · error_code</t>
        </is>
      </c>
      <c r="D46" s="21" t="inlineStr">
        <is>
          <t>Task</t>
        </is>
      </c>
      <c r="E46" s="21" t="inlineStr">
        <is>
          <t>Task.businessStatus · Task.statusReason</t>
        </is>
      </c>
      <c r="F46" s="21" t="inlineStr"/>
      <c r="G46" s="22" t="inlineStr">
        <is>
          <t>확장</t>
        </is>
      </c>
      <c r="H46" s="21" t="inlineStr"/>
    </row>
    <row r="47">
      <c r="A47" s="34" t="inlineStr">
        <is>
          <t>분석</t>
        </is>
      </c>
      <c r="B47" s="35" t="inlineStr">
        <is>
          <t>analyses</t>
        </is>
      </c>
      <c r="C47" s="36" t="inlineStr">
        <is>
          <t>user_birth_year</t>
        </is>
      </c>
      <c r="D47" s="36" t="inlineStr">
        <is>
          <t>—</t>
        </is>
      </c>
      <c r="E47" s="36" t="inlineStr">
        <is>
          <t>—</t>
        </is>
      </c>
      <c r="F47" s="36" t="inlineStr"/>
      <c r="G47" s="34" t="inlineStr">
        <is>
          <t>FHIR 외</t>
        </is>
      </c>
      <c r="H47" s="36" t="inlineStr">
        <is>
          <t>분석 시점 스냅샷 (내부)</t>
        </is>
      </c>
    </row>
    <row r="48">
      <c r="A48" s="16" t="inlineStr">
        <is>
          <t>분석</t>
        </is>
      </c>
      <c r="B48" s="19" t="inlineStr">
        <is>
          <t>analysis_prescriptions</t>
        </is>
      </c>
      <c r="C48" s="15" t="inlineStr">
        <is>
          <t>(테이블)</t>
        </is>
      </c>
      <c r="D48" s="14" t="inlineStr">
        <is>
          <t>Task</t>
        </is>
      </c>
      <c r="E48" s="15" t="inlineStr">
        <is>
          <t>Task.input</t>
        </is>
      </c>
      <c r="F48" s="15" t="inlineStr">
        <is>
          <t>valueReference = MedicationRequest</t>
        </is>
      </c>
      <c r="G48" s="16" t="inlineStr">
        <is>
          <t>변환</t>
        </is>
      </c>
      <c r="H48" s="15" t="inlineStr">
        <is>
          <t>분석에 넣은 처방 목록</t>
        </is>
      </c>
    </row>
    <row r="49">
      <c r="A49" s="16" t="inlineStr">
        <is>
          <t>분석</t>
        </is>
      </c>
      <c r="B49" s="19" t="inlineStr">
        <is>
          <t>analysis_diseases</t>
        </is>
      </c>
      <c r="C49" s="15" t="inlineStr">
        <is>
          <t>(테이블)</t>
        </is>
      </c>
      <c r="D49" s="14" t="inlineStr">
        <is>
          <t>Condition</t>
        </is>
      </c>
      <c r="E49" s="15" t="inlineStr">
        <is>
          <t>Condition</t>
        </is>
      </c>
      <c r="F49" s="15" t="inlineStr"/>
      <c r="G49" s="16" t="inlineStr">
        <is>
          <t>변환</t>
        </is>
      </c>
      <c r="H49" s="15" t="inlineStr"/>
    </row>
    <row r="50">
      <c r="A50" s="16" t="inlineStr">
        <is>
          <t>분석</t>
        </is>
      </c>
      <c r="B50" s="33" t="inlineStr">
        <is>
          <t>analysis_diseases</t>
        </is>
      </c>
      <c r="C50" s="15" t="inlineStr">
        <is>
          <t>origin</t>
        </is>
      </c>
      <c r="D50" s="15" t="inlineStr">
        <is>
          <t>Condition</t>
        </is>
      </c>
      <c r="E50" s="15" t="inlineStr">
        <is>
          <t>Condition.asserter</t>
        </is>
      </c>
      <c r="F50" s="15" t="inlineStr">
        <is>
          <t>prescription → 처방전에서 옴 / user → asserter = Patient (직접 선택)</t>
        </is>
      </c>
      <c r="G50" s="16" t="inlineStr">
        <is>
          <t>변환</t>
        </is>
      </c>
      <c r="H50" s="15" t="inlineStr">
        <is>
          <t>누가 주장한 질환인지 구분</t>
        </is>
      </c>
    </row>
    <row r="51">
      <c r="A51" s="30" t="inlineStr">
        <is>
          <t>분석</t>
        </is>
      </c>
      <c r="B51" s="38" t="inlineStr">
        <is>
          <t>analysis_warnings</t>
        </is>
      </c>
      <c r="C51" s="32" t="inlineStr">
        <is>
          <t>(테이블)</t>
        </is>
      </c>
      <c r="D51" s="39" t="inlineStr">
        <is>
          <t>DetectedIssue</t>
        </is>
      </c>
      <c r="E51" s="32" t="inlineStr">
        <is>
          <t>DetectedIssue</t>
        </is>
      </c>
      <c r="F51" s="32" t="inlineStr">
        <is>
          <t>경고 1건 = DetectedIssue 1개</t>
        </is>
      </c>
      <c r="G51" s="30" t="inlineStr">
        <is>
          <t>일치</t>
        </is>
      </c>
      <c r="H51" s="32" t="inlineStr">
        <is>
          <t>FHIR에 "약물 문제 감지" 전용 리소스가 있음 — 가장 잘 맞는 부분</t>
        </is>
      </c>
    </row>
    <row r="52">
      <c r="A52" s="16" t="inlineStr">
        <is>
          <t>분석</t>
        </is>
      </c>
      <c r="B52" s="33" t="inlineStr">
        <is>
          <t>analysis_warnings</t>
        </is>
      </c>
      <c r="C52" s="15" t="inlineStr">
        <is>
          <t>warning_type</t>
        </is>
      </c>
      <c r="D52" s="15" t="inlineStr">
        <is>
          <t>DetectedIssue</t>
        </is>
      </c>
      <c r="E52" s="15" t="inlineStr">
        <is>
          <t>DetectedIssue.code</t>
        </is>
      </c>
      <c r="F52" s="15" t="inlineStr">
        <is>
          <t>interaction → DRG / duplicate_* → DUPTHPY / dose_exceed → DOSEHIGH / age → AGE / elderly · pregnancy · polypharmacy → 자체 코드</t>
        </is>
      </c>
      <c r="G52" s="16" t="inlineStr">
        <is>
          <t>변환</t>
        </is>
      </c>
      <c r="H52" s="15" t="inlineStr">
        <is>
          <t>HL7 v3 ActCode 후보 — 구현 시 코드 확인 필요</t>
        </is>
      </c>
    </row>
    <row r="53">
      <c r="A53" s="16" t="inlineStr">
        <is>
          <t>분석</t>
        </is>
      </c>
      <c r="B53" s="33" t="inlineStr">
        <is>
          <t>analysis_warnings</t>
        </is>
      </c>
      <c r="C53" s="15" t="inlineStr">
        <is>
          <t>severity</t>
        </is>
      </c>
      <c r="D53" s="15" t="inlineStr">
        <is>
          <t>DetectedIssue</t>
        </is>
      </c>
      <c r="E53" s="15" t="inlineStr">
        <is>
          <t>DetectedIssue.severity</t>
        </is>
      </c>
      <c r="F53" s="15" t="inlineStr">
        <is>
          <t>danger → high / caution → moderate / info → low</t>
        </is>
      </c>
      <c r="G53" s="16" t="inlineStr">
        <is>
          <t>변환</t>
        </is>
      </c>
      <c r="H53" s="15" t="inlineStr"/>
    </row>
    <row r="54">
      <c r="A54" s="30" t="inlineStr">
        <is>
          <t>분석</t>
        </is>
      </c>
      <c r="B54" s="31" t="inlineStr">
        <is>
          <t>analysis_warnings</t>
        </is>
      </c>
      <c r="C54" s="32" t="inlineStr">
        <is>
          <t>item_id_a · item_id_b</t>
        </is>
      </c>
      <c r="D54" s="32" t="inlineStr">
        <is>
          <t>DetectedIssue</t>
        </is>
      </c>
      <c r="E54" s="32" t="inlineStr">
        <is>
          <t>DetectedIssue.implicated</t>
        </is>
      </c>
      <c r="F54" s="32" t="inlineStr">
        <is>
          <t>Reference(MedicationRequest) 2개</t>
        </is>
      </c>
      <c r="G54" s="30" t="inlineStr">
        <is>
          <t>일치</t>
        </is>
      </c>
      <c r="H54" s="32" t="inlineStr"/>
    </row>
    <row r="55">
      <c r="A55" s="30" t="inlineStr">
        <is>
          <t>분석</t>
        </is>
      </c>
      <c r="B55" s="31" t="inlineStr">
        <is>
          <t>analysis_warnings</t>
        </is>
      </c>
      <c r="C55" s="32" t="inlineStr">
        <is>
          <t>reason</t>
        </is>
      </c>
      <c r="D55" s="32" t="inlineStr">
        <is>
          <t>DetectedIssue</t>
        </is>
      </c>
      <c r="E55" s="32" t="inlineStr">
        <is>
          <t>DetectedIssue.detail</t>
        </is>
      </c>
      <c r="F55" s="32" t="inlineStr">
        <is>
          <t>DUR 금기 사유 원문</t>
        </is>
      </c>
      <c r="G55" s="30" t="inlineStr">
        <is>
          <t>일치</t>
        </is>
      </c>
      <c r="H55" s="32" t="inlineStr"/>
    </row>
    <row r="56">
      <c r="A56" s="16" t="inlineStr">
        <is>
          <t>분석</t>
        </is>
      </c>
      <c r="B56" s="33" t="inlineStr">
        <is>
          <t>analysis_warnings</t>
        </is>
      </c>
      <c r="C56" s="15" t="inlineStr">
        <is>
          <t>source · notice_date</t>
        </is>
      </c>
      <c r="D56" s="15" t="inlineStr">
        <is>
          <t>DetectedIssue</t>
        </is>
      </c>
      <c r="E56" s="15" t="inlineStr">
        <is>
          <t>DetectedIssue.reference</t>
        </is>
      </c>
      <c r="F56" s="15" t="inlineStr">
        <is>
          <t>식약처 고시 출처</t>
        </is>
      </c>
      <c r="G56" s="16" t="inlineStr">
        <is>
          <t>변환</t>
        </is>
      </c>
      <c r="H56" s="15" t="inlineStr"/>
    </row>
    <row r="57">
      <c r="A57" s="22" t="inlineStr">
        <is>
          <t>분석</t>
        </is>
      </c>
      <c r="B57" s="37" t="inlineStr">
        <is>
          <t>analysis_warnings</t>
        </is>
      </c>
      <c r="C57" s="21" t="inlineStr">
        <is>
          <t>summary · daily_total · max_daily</t>
        </is>
      </c>
      <c r="D57" s="21" t="inlineStr">
        <is>
          <t>—</t>
        </is>
      </c>
      <c r="E57" s="21" t="inlineStr">
        <is>
          <t>extension</t>
        </is>
      </c>
      <c r="F57" s="21" t="inlineStr"/>
      <c r="G57" s="22" t="inlineStr">
        <is>
          <t>확장</t>
        </is>
      </c>
      <c r="H57" s="21" t="inlineStr">
        <is>
          <t>화면 문장 · 용량 계산값</t>
        </is>
      </c>
    </row>
    <row r="58">
      <c r="A58" s="22" t="inlineStr">
        <is>
          <t>분석</t>
        </is>
      </c>
      <c r="B58" s="37" t="inlineStr">
        <is>
          <t>analysis_warnings</t>
        </is>
      </c>
      <c r="C58" s="21" t="inlineStr">
        <is>
          <t>detail</t>
        </is>
      </c>
      <c r="D58" s="21" t="inlineStr">
        <is>
          <t>DetectedIssue</t>
        </is>
      </c>
      <c r="E58" s="21" t="inlineStr">
        <is>
          <t>extension</t>
        </is>
      </c>
      <c r="F58" s="21" t="n"/>
      <c r="G58" s="22" t="inlineStr">
        <is>
          <t>확장</t>
        </is>
      </c>
      <c r="H58" s="21" t="inlineStr">
        <is>
          <t>3개 이상 경고의 전체 약 목록은 표준 요소가 없음</t>
        </is>
      </c>
    </row>
    <row r="59">
      <c r="A59" s="34" t="inlineStr">
        <is>
          <t>분석</t>
        </is>
      </c>
      <c r="B59" s="40" t="inlineStr">
        <is>
          <t>guides</t>
        </is>
      </c>
      <c r="C59" s="36" t="inlineStr">
        <is>
          <t>(테이블)</t>
        </is>
      </c>
      <c r="D59" s="17" t="inlineStr">
        <is>
          <t>—</t>
        </is>
      </c>
      <c r="E59" s="36" t="inlineStr">
        <is>
          <t>—</t>
        </is>
      </c>
      <c r="F59" s="36" t="inlineStr"/>
      <c r="G59" s="34" t="inlineStr">
        <is>
          <t>FHIR 외</t>
        </is>
      </c>
      <c r="H59" s="36" t="inlineStr">
        <is>
          <t>AI 생성 안내문 (의료 기록 아님). 필요하면 DocumentReference로 보관</t>
        </is>
      </c>
    </row>
    <row r="60">
      <c r="A60" s="34" t="inlineStr">
        <is>
          <t>분석</t>
        </is>
      </c>
      <c r="B60" s="40" t="inlineStr">
        <is>
          <t>feedbacks</t>
        </is>
      </c>
      <c r="C60" s="36" t="inlineStr">
        <is>
          <t>(테이블)</t>
        </is>
      </c>
      <c r="D60" s="17" t="inlineStr">
        <is>
          <t>—</t>
        </is>
      </c>
      <c r="E60" s="36" t="inlineStr">
        <is>
          <t>—</t>
        </is>
      </c>
      <c r="F60" s="36" t="inlineStr"/>
      <c r="G60" s="34" t="inlineStr">
        <is>
          <t>FHIR 외</t>
        </is>
      </c>
      <c r="H60" s="36" t="inlineStr">
        <is>
          <t>서비스 피드백</t>
        </is>
      </c>
    </row>
    <row r="61">
      <c r="A61" s="34" t="inlineStr">
        <is>
          <t>챗봇</t>
        </is>
      </c>
      <c r="B61" s="40" t="inlineStr">
        <is>
          <t>chat_sessions</t>
        </is>
      </c>
      <c r="C61" s="36" t="inlineStr">
        <is>
          <t>(테이블)</t>
        </is>
      </c>
      <c r="D61" s="17" t="inlineStr">
        <is>
          <t>—</t>
        </is>
      </c>
      <c r="E61" s="36" t="inlineStr">
        <is>
          <t>—</t>
        </is>
      </c>
      <c r="F61" s="36" t="inlineStr"/>
      <c r="G61" s="34" t="inlineStr">
        <is>
          <t>FHIR 외</t>
        </is>
      </c>
      <c r="H61" s="36" t="inlineStr">
        <is>
          <t>대화 묶음 (내부)</t>
        </is>
      </c>
    </row>
    <row r="62">
      <c r="A62" s="16" t="inlineStr">
        <is>
          <t>챗봇</t>
        </is>
      </c>
      <c r="B62" s="19" t="inlineStr">
        <is>
          <t>chat_messages</t>
        </is>
      </c>
      <c r="C62" s="15" t="inlineStr">
        <is>
          <t>(테이블)</t>
        </is>
      </c>
      <c r="D62" s="14" t="inlineStr">
        <is>
          <t>Communication</t>
        </is>
      </c>
      <c r="E62" s="15" t="inlineStr">
        <is>
          <t>Communication</t>
        </is>
      </c>
      <c r="F62" s="15" t="inlineStr"/>
      <c r="G62" s="16" t="inlineStr">
        <is>
          <t>변환</t>
        </is>
      </c>
      <c r="H62" s="15" t="inlineStr">
        <is>
          <t>의료 기록으로 보관할 필요가 생길 때만</t>
        </is>
      </c>
    </row>
    <row r="63">
      <c r="A63" s="16" t="inlineStr">
        <is>
          <t>챗봇</t>
        </is>
      </c>
      <c r="B63" s="33" t="inlineStr">
        <is>
          <t>chat_messages</t>
        </is>
      </c>
      <c r="C63" s="15" t="inlineStr">
        <is>
          <t>role · content · created_at</t>
        </is>
      </c>
      <c r="D63" s="15" t="inlineStr">
        <is>
          <t>Communication</t>
        </is>
      </c>
      <c r="E63" s="15" t="inlineStr">
        <is>
          <t>Communication.sender · payload.contentString · sent</t>
        </is>
      </c>
      <c r="F63" s="15" t="inlineStr"/>
      <c r="G63" s="16" t="inlineStr">
        <is>
          <t>변환</t>
        </is>
      </c>
      <c r="H63" s="15" t="inlineStr"/>
    </row>
    <row r="64">
      <c r="A64" s="16" t="inlineStr">
        <is>
          <t>챗봇</t>
        </is>
      </c>
      <c r="B64" s="33" t="inlineStr">
        <is>
          <t>chat_messages</t>
        </is>
      </c>
      <c r="C64" s="15" t="inlineStr">
        <is>
          <t>safety_card · status · model · prompt_tokens · completion_tokens · latency_ms</t>
        </is>
      </c>
      <c r="D64" s="15" t="inlineStr">
        <is>
          <t>—</t>
        </is>
      </c>
      <c r="E64" s="15" t="inlineStr">
        <is>
          <t>extension</t>
        </is>
      </c>
      <c r="F64" s="15" t="n"/>
      <c r="G64" s="16" t="inlineStr">
        <is>
          <t>FHIR 외</t>
        </is>
      </c>
      <c r="H64" s="15" t="inlineStr">
        <is>
          <t>답변 상태와 비용 기록은 서비스 내부 정보</t>
        </is>
      </c>
    </row>
    <row r="65">
      <c r="A65" s="16" t="inlineStr">
        <is>
          <t>실천·보상</t>
        </is>
      </c>
      <c r="B65" s="19" t="inlineStr">
        <is>
          <t>recommendations</t>
        </is>
      </c>
      <c r="C65" s="15" t="inlineStr">
        <is>
          <t>(테이블)</t>
        </is>
      </c>
      <c r="D65" s="14" t="inlineStr">
        <is>
          <t>CarePlan</t>
        </is>
      </c>
      <c r="E65" s="15" t="inlineStr">
        <is>
          <t>CarePlan.activity</t>
        </is>
      </c>
      <c r="F65" s="15" t="inlineStr">
        <is>
          <t>추천 1개 = activity 1개 (status = not-started)</t>
        </is>
      </c>
      <c r="G65" s="16" t="inlineStr">
        <is>
          <t>변환</t>
        </is>
      </c>
      <c r="H65" s="15" t="inlineStr"/>
    </row>
    <row r="66">
      <c r="A66" s="30" t="inlineStr">
        <is>
          <t>실천·보상</t>
        </is>
      </c>
      <c r="B66" s="38" t="inlineStr">
        <is>
          <t>habit_goals</t>
        </is>
      </c>
      <c r="C66" s="32" t="inlineStr">
        <is>
          <t>(테이블)</t>
        </is>
      </c>
      <c r="D66" s="39" t="inlineStr">
        <is>
          <t>Goal</t>
        </is>
      </c>
      <c r="E66" s="32" t="inlineStr">
        <is>
          <t>Goal</t>
        </is>
      </c>
      <c r="F66" s="32" t="inlineStr"/>
      <c r="G66" s="30" t="inlineStr">
        <is>
          <t>일치</t>
        </is>
      </c>
      <c r="H66" s="32" t="inlineStr">
        <is>
          <t>FHIR Goal = 환자 건강 목표</t>
        </is>
      </c>
    </row>
    <row r="67">
      <c r="A67" s="30" t="inlineStr">
        <is>
          <t>실천·보상</t>
        </is>
      </c>
      <c r="B67" s="31" t="inlineStr">
        <is>
          <t>habit_goals</t>
        </is>
      </c>
      <c r="C67" s="32" t="inlineStr">
        <is>
          <t>title</t>
        </is>
      </c>
      <c r="D67" s="32" t="inlineStr">
        <is>
          <t>Goal</t>
        </is>
      </c>
      <c r="E67" s="32" t="inlineStr">
        <is>
          <t>Goal.description.text</t>
        </is>
      </c>
      <c r="F67" s="32" t="inlineStr"/>
      <c r="G67" s="30" t="inlineStr">
        <is>
          <t>일치</t>
        </is>
      </c>
      <c r="H67" s="32" t="inlineStr"/>
    </row>
    <row r="68">
      <c r="A68" s="30" t="inlineStr">
        <is>
          <t>실천·보상</t>
        </is>
      </c>
      <c r="B68" s="31" t="inlineStr">
        <is>
          <t>habit_goals</t>
        </is>
      </c>
      <c r="C68" s="32" t="inlineStr">
        <is>
          <t>target_value · unit</t>
        </is>
      </c>
      <c r="D68" s="32" t="inlineStr">
        <is>
          <t>Goal</t>
        </is>
      </c>
      <c r="E68" s="32" t="inlineStr">
        <is>
          <t>Goal.target.detailQuantity</t>
        </is>
      </c>
      <c r="F68" s="32" t="inlineStr"/>
      <c r="G68" s="30" t="inlineStr">
        <is>
          <t>일치</t>
        </is>
      </c>
      <c r="H68" s="32" t="inlineStr"/>
    </row>
    <row r="69">
      <c r="A69" s="30" t="inlineStr">
        <is>
          <t>실천·보상</t>
        </is>
      </c>
      <c r="B69" s="31" t="inlineStr">
        <is>
          <t>habit_goals</t>
        </is>
      </c>
      <c r="C69" s="32" t="inlineStr">
        <is>
          <t>start_date · end_date</t>
        </is>
      </c>
      <c r="D69" s="32" t="inlineStr">
        <is>
          <t>Goal</t>
        </is>
      </c>
      <c r="E69" s="32" t="inlineStr">
        <is>
          <t>Goal.startDate · Goal.target.dueDate</t>
        </is>
      </c>
      <c r="F69" s="32" t="inlineStr"/>
      <c r="G69" s="30" t="inlineStr">
        <is>
          <t>일치</t>
        </is>
      </c>
      <c r="H69" s="32" t="inlineStr"/>
    </row>
    <row r="70">
      <c r="A70" s="16" t="inlineStr">
        <is>
          <t>실천·보상</t>
        </is>
      </c>
      <c r="B70" s="33" t="inlineStr">
        <is>
          <t>habit_goals</t>
        </is>
      </c>
      <c r="C70" s="15" t="inlineStr">
        <is>
          <t>status</t>
        </is>
      </c>
      <c r="D70" s="15" t="inlineStr">
        <is>
          <t>Goal</t>
        </is>
      </c>
      <c r="E70" s="15" t="inlineStr">
        <is>
          <t>Goal.lifecycleStatus</t>
        </is>
      </c>
      <c r="F70" s="15" t="inlineStr">
        <is>
          <t>active → active / ended → completed</t>
        </is>
      </c>
      <c r="G70" s="16" t="inlineStr">
        <is>
          <t>변환</t>
        </is>
      </c>
      <c r="H70" s="15" t="inlineStr"/>
    </row>
    <row r="71">
      <c r="A71" s="16" t="inlineStr">
        <is>
          <t>실천·보상</t>
        </is>
      </c>
      <c r="B71" s="19" t="inlineStr">
        <is>
          <t>habit_records</t>
        </is>
      </c>
      <c r="C71" s="15" t="inlineStr">
        <is>
          <t>(테이블)</t>
        </is>
      </c>
      <c r="D71" s="14" t="inlineStr">
        <is>
          <t>Observation</t>
        </is>
      </c>
      <c r="E71" s="15" t="inlineStr">
        <is>
          <t>Observation</t>
        </is>
      </c>
      <c r="F71" s="15" t="inlineStr">
        <is>
          <t>기록 1건 = Observation 1개 (focus = Goal)</t>
        </is>
      </c>
      <c r="G71" s="16" t="inlineStr">
        <is>
          <t>변환</t>
        </is>
      </c>
      <c r="H71" s="15" t="inlineStr"/>
    </row>
    <row r="72">
      <c r="A72" s="16" t="inlineStr">
        <is>
          <t>실천·보상</t>
        </is>
      </c>
      <c r="B72" s="33" t="inlineStr">
        <is>
          <t>habit_records</t>
        </is>
      </c>
      <c r="C72" s="15" t="inlineStr">
        <is>
          <t>value · completed · record_date</t>
        </is>
      </c>
      <c r="D72" s="15" t="inlineStr">
        <is>
          <t>Observation</t>
        </is>
      </c>
      <c r="E72" s="15" t="inlineStr">
        <is>
          <t>Observation.valueQuantity / valueBoolean · effectiveDateTime</t>
        </is>
      </c>
      <c r="F72" s="15" t="inlineStr"/>
      <c r="G72" s="16" t="inlineStr">
        <is>
          <t>변환</t>
        </is>
      </c>
      <c r="H72" s="15" t="inlineStr"/>
    </row>
    <row r="73">
      <c r="A73" s="34" t="inlineStr">
        <is>
          <t>실천·보상</t>
        </is>
      </c>
      <c r="B73" s="40" t="inlineStr">
        <is>
          <t>rewards</t>
        </is>
      </c>
      <c r="C73" s="36" t="inlineStr">
        <is>
          <t>(테이블)</t>
        </is>
      </c>
      <c r="D73" s="17" t="inlineStr">
        <is>
          <t>—</t>
        </is>
      </c>
      <c r="E73" s="36" t="inlineStr">
        <is>
          <t>—</t>
        </is>
      </c>
      <c r="F73" s="36" t="inlineStr"/>
      <c r="G73" s="34" t="inlineStr">
        <is>
          <t>FHIR 외</t>
        </is>
      </c>
      <c r="H73" s="36" t="inlineStr">
        <is>
          <t>포인트 (서비스 보상)</t>
        </is>
      </c>
    </row>
    <row r="74">
      <c r="A74" s="16" t="inlineStr">
        <is>
          <t>마스터</t>
        </is>
      </c>
      <c r="B74" s="19" t="inlineStr">
        <is>
          <t>drug_products</t>
        </is>
      </c>
      <c r="C74" s="15" t="inlineStr">
        <is>
          <t>(테이블)</t>
        </is>
      </c>
      <c r="D74" s="14" t="inlineStr">
        <is>
          <t>Medication</t>
        </is>
      </c>
      <c r="E74" s="15" t="inlineStr">
        <is>
          <t>Medication</t>
        </is>
      </c>
      <c r="F74" s="15" t="inlineStr"/>
      <c r="G74" s="16" t="inlineStr">
        <is>
          <t>변환</t>
        </is>
      </c>
      <c r="H74" s="15" t="inlineStr"/>
    </row>
    <row r="75">
      <c r="A75" s="16" t="inlineStr">
        <is>
          <t>마스터</t>
        </is>
      </c>
      <c r="B75" s="33" t="inlineStr">
        <is>
          <t>drug_products</t>
        </is>
      </c>
      <c r="C75" s="15" t="inlineStr">
        <is>
          <t>edi_code</t>
        </is>
      </c>
      <c r="D75" s="15" t="inlineStr">
        <is>
          <t>Medication</t>
        </is>
      </c>
      <c r="E75" s="15" t="inlineStr">
        <is>
          <t>Medication.code.coding</t>
        </is>
      </c>
      <c r="F75" s="15" t="inlineStr">
        <is>
          <t>system = 심평원 EDI 제품코드</t>
        </is>
      </c>
      <c r="G75" s="16" t="inlineStr">
        <is>
          <t>변환</t>
        </is>
      </c>
      <c r="H75" s="15" t="inlineStr"/>
    </row>
    <row r="76">
      <c r="A76" s="16" t="inlineStr">
        <is>
          <t>마스터</t>
        </is>
      </c>
      <c r="B76" s="33" t="inlineStr">
        <is>
          <t>drug_products</t>
        </is>
      </c>
      <c r="C76" s="15" t="inlineStr">
        <is>
          <t>ingr_code</t>
        </is>
      </c>
      <c r="D76" s="15" t="inlineStr">
        <is>
          <t>Medication</t>
        </is>
      </c>
      <c r="E76" s="15" t="inlineStr">
        <is>
          <t>Medication.ingredient.itemCodeableConcept</t>
        </is>
      </c>
      <c r="F76" s="15" t="inlineStr">
        <is>
          <t>system = 심평원 주성분코드</t>
        </is>
      </c>
      <c r="G76" s="16" t="inlineStr">
        <is>
          <t>변환</t>
        </is>
      </c>
      <c r="H76" s="15" t="inlineStr"/>
    </row>
    <row r="77">
      <c r="A77" s="16" t="inlineStr">
        <is>
          <t>마스터</t>
        </is>
      </c>
      <c r="B77" s="33" t="inlineStr">
        <is>
          <t>drug_products</t>
        </is>
      </c>
      <c r="C77" s="15" t="inlineStr">
        <is>
          <t>entp_name</t>
        </is>
      </c>
      <c r="D77" s="15" t="inlineStr">
        <is>
          <t>Organization</t>
        </is>
      </c>
      <c r="E77" s="15" t="inlineStr">
        <is>
          <t>Medication.manufacturer → Organization.name</t>
        </is>
      </c>
      <c r="F77" s="15" t="inlineStr"/>
      <c r="G77" s="16" t="inlineStr">
        <is>
          <t>변환</t>
        </is>
      </c>
      <c r="H77" s="15" t="inlineStr"/>
    </row>
    <row r="78">
      <c r="A78" s="16" t="inlineStr">
        <is>
          <t>마스터</t>
        </is>
      </c>
      <c r="B78" s="33" t="inlineStr">
        <is>
          <t>drug_products</t>
        </is>
      </c>
      <c r="C78" s="15" t="inlineStr">
        <is>
          <t>spec_value · spec_unit</t>
        </is>
      </c>
      <c r="D78" s="15" t="inlineStr">
        <is>
          <t>Medication</t>
        </is>
      </c>
      <c r="E78" s="15" t="inlineStr">
        <is>
          <t>Medication.ingredient.strength</t>
        </is>
      </c>
      <c r="F78" s="15" t="inlineStr"/>
      <c r="G78" s="16" t="inlineStr">
        <is>
          <t>변환</t>
        </is>
      </c>
      <c r="H78" s="15" t="inlineStr"/>
    </row>
    <row r="79">
      <c r="A79" s="16" t="inlineStr">
        <is>
          <t>마스터</t>
        </is>
      </c>
      <c r="B79" s="19" t="inlineStr">
        <is>
          <t>drug_ingredients</t>
        </is>
      </c>
      <c r="C79" s="15" t="inlineStr">
        <is>
          <t>(테이블)</t>
        </is>
      </c>
      <c r="D79" s="14" t="inlineStr">
        <is>
          <t>Substance</t>
        </is>
      </c>
      <c r="E79" s="15" t="inlineStr">
        <is>
          <t>Substance.code</t>
        </is>
      </c>
      <c r="F79" s="15" t="inlineStr"/>
      <c r="G79" s="16" t="inlineStr">
        <is>
          <t>변환</t>
        </is>
      </c>
      <c r="H79" s="15" t="inlineStr"/>
    </row>
    <row r="80">
      <c r="A80" s="16" t="inlineStr">
        <is>
          <t>마스터</t>
        </is>
      </c>
      <c r="B80" s="19" t="inlineStr">
        <is>
          <t>drug_details</t>
        </is>
      </c>
      <c r="C80" s="15" t="inlineStr">
        <is>
          <t>(테이블)</t>
        </is>
      </c>
      <c r="D80" s="14" t="inlineStr">
        <is>
          <t>MedicationKnowledge</t>
        </is>
      </c>
      <c r="E80" s="15" t="inlineStr">
        <is>
          <t>MedicationKnowledge</t>
        </is>
      </c>
      <c r="F80" s="15" t="inlineStr">
        <is>
          <t>효능효과 · 용법용량 · 주의사항</t>
        </is>
      </c>
      <c r="G80" s="16" t="inlineStr">
        <is>
          <t>변환</t>
        </is>
      </c>
      <c r="H80" s="15" t="inlineStr">
        <is>
          <t>RAG 검색 원문</t>
        </is>
      </c>
    </row>
    <row r="81">
      <c r="A81" s="16" t="inlineStr">
        <is>
          <t>마스터</t>
        </is>
      </c>
      <c r="B81" s="19" t="inlineStr">
        <is>
          <t>dur_interaction · dur_interaction_exception</t>
        </is>
      </c>
      <c r="C81" s="15" t="inlineStr">
        <is>
          <t>(테이블)</t>
        </is>
      </c>
      <c r="D81" s="14" t="inlineStr">
        <is>
          <t>ClinicalUseDefinition (R5)</t>
        </is>
      </c>
      <c r="E81" s="15" t="inlineStr">
        <is>
          <t>ClinicalUseDefinition.interaction</t>
        </is>
      </c>
      <c r="F81" s="15" t="inlineStr">
        <is>
          <t>type = interaction</t>
        </is>
      </c>
      <c r="G81" s="16" t="inlineStr">
        <is>
          <t>변환</t>
        </is>
      </c>
      <c r="H81" s="15" t="inlineStr">
        <is>
          <t>R4에는 전용 리소스 없음 — R5 참고</t>
        </is>
      </c>
    </row>
    <row r="82">
      <c r="A82" s="16" t="inlineStr">
        <is>
          <t>마스터</t>
        </is>
      </c>
      <c r="B82" s="19" t="inlineStr">
        <is>
          <t>dur_elderly · dur_age_limit · dur_pregnancy</t>
        </is>
      </c>
      <c r="C82" s="15" t="inlineStr">
        <is>
          <t>(테이블)</t>
        </is>
      </c>
      <c r="D82" s="14" t="inlineStr">
        <is>
          <t>ClinicalUseDefinition (R5)</t>
        </is>
      </c>
      <c r="E82" s="15" t="inlineStr">
        <is>
          <t>ClinicalUseDefinition.contraindication</t>
        </is>
      </c>
      <c r="F82" s="15" t="inlineStr">
        <is>
          <t>type = contraindication, population = 나이 · 임부</t>
        </is>
      </c>
      <c r="G82" s="16" t="inlineStr">
        <is>
          <t>변환</t>
        </is>
      </c>
      <c r="H82" s="15" t="inlineStr">
        <is>
          <t>R5 참고</t>
        </is>
      </c>
    </row>
    <row r="83">
      <c r="A83" s="16" t="inlineStr">
        <is>
          <t>마스터</t>
        </is>
      </c>
      <c r="B83" s="19" t="inlineStr">
        <is>
          <t>dur_dose_limit</t>
        </is>
      </c>
      <c r="C83" s="15" t="inlineStr">
        <is>
          <t>(테이블)</t>
        </is>
      </c>
      <c r="D83" s="14" t="inlineStr">
        <is>
          <t>MedicationKnowledge</t>
        </is>
      </c>
      <c r="E83" s="15" t="inlineStr">
        <is>
          <t>MedicationKnowledge.administrationGuidelines.dosage</t>
        </is>
      </c>
      <c r="F83" s="15" t="inlineStr">
        <is>
          <t>1일 최대 투여량</t>
        </is>
      </c>
      <c r="G83" s="16" t="inlineStr">
        <is>
          <t>변환</t>
        </is>
      </c>
      <c r="H83" s="15" t="inlineStr"/>
    </row>
    <row r="84">
      <c r="A84" s="34" t="inlineStr">
        <is>
          <t>마스터</t>
        </is>
      </c>
      <c r="B84" s="40" t="inlineStr">
        <is>
          <t>dup_ingredient · dup_efficacy</t>
        </is>
      </c>
      <c r="C84" s="36" t="inlineStr">
        <is>
          <t>(테이블)</t>
        </is>
      </c>
      <c r="D84" s="17" t="inlineStr">
        <is>
          <t>—</t>
        </is>
      </c>
      <c r="E84" s="36" t="inlineStr">
        <is>
          <t>—</t>
        </is>
      </c>
      <c r="F84" s="36" t="inlineStr"/>
      <c r="G84" s="34" t="inlineStr">
        <is>
          <t>FHIR 외</t>
        </is>
      </c>
      <c r="H84" s="36" t="inlineStr">
        <is>
          <t>국내 DUR 중복 점검 규칙</t>
        </is>
      </c>
    </row>
    <row r="85">
      <c r="A85" s="16" t="inlineStr">
        <is>
          <t>마스터</t>
        </is>
      </c>
      <c r="B85" s="19" t="inlineStr">
        <is>
          <t>diseases</t>
        </is>
      </c>
      <c r="C85" s="15" t="inlineStr">
        <is>
          <t>(테이블)</t>
        </is>
      </c>
      <c r="D85" s="14" t="inlineStr">
        <is>
          <t>CodeSystem</t>
        </is>
      </c>
      <c r="E85" s="15" t="inlineStr">
        <is>
          <t>CodeSystem.concept</t>
        </is>
      </c>
      <c r="F85" s="15" t="inlineStr">
        <is>
          <t>KCD 상병 코드 목록</t>
        </is>
      </c>
      <c r="G85" s="16" t="inlineStr">
        <is>
          <t>변환</t>
        </is>
      </c>
      <c r="H85" s="15" t="inlineStr"/>
    </row>
    <row r="86">
      <c r="A86" s="16" t="inlineStr">
        <is>
          <t>마스터</t>
        </is>
      </c>
      <c r="B86" s="19" t="inlineStr">
        <is>
          <t>checkup_items</t>
        </is>
      </c>
      <c r="C86" s="15" t="inlineStr">
        <is>
          <t>(테이블)</t>
        </is>
      </c>
      <c r="D86" s="14" t="inlineStr">
        <is>
          <t>CodeSystem</t>
        </is>
      </c>
      <c r="E86" s="15" t="inlineStr">
        <is>
          <t>CodeSystem.concept</t>
        </is>
      </c>
      <c r="F86" s="15" t="inlineStr">
        <is>
          <t>건강검진 검사항목 코드 목록</t>
        </is>
      </c>
      <c r="G86" s="16" t="inlineStr">
        <is>
          <t>변환</t>
        </is>
      </c>
      <c r="H86" s="15" t="inlineStr">
        <is>
          <t>보류</t>
        </is>
      </c>
    </row>
    <row r="87">
      <c r="A87" s="16" t="inlineStr">
        <is>
          <t>마스터</t>
        </is>
      </c>
      <c r="B87" s="19" t="inlineStr">
        <is>
          <t>lifestyle_guides · lifestyle_guide_actions · lifestyle_medication_links</t>
        </is>
      </c>
      <c r="C87" s="15" t="inlineStr">
        <is>
          <t>(테이블)</t>
        </is>
      </c>
      <c r="D87" s="14" t="inlineStr">
        <is>
          <t>PlanDefinition</t>
        </is>
      </c>
      <c r="E87" s="15" t="inlineStr">
        <is>
          <t>PlanDefinition.action</t>
        </is>
      </c>
      <c r="F87" s="15" t="inlineStr"/>
      <c r="G87" s="16" t="inlineStr">
        <is>
          <t>변환</t>
        </is>
      </c>
      <c r="H87" s="15" t="inlineStr">
        <is>
          <t>자체 생활습관 지식 베이스. 실천 항목 1개 = PlanDefinition.action 1개</t>
        </is>
      </c>
    </row>
    <row r="88">
      <c r="A88" s="16" t="inlineStr">
        <is>
          <t>마스터</t>
        </is>
      </c>
      <c r="B88" s="19" t="inlineStr">
        <is>
          <t>lifestyle_guide_sources</t>
        </is>
      </c>
      <c r="C88" s="15" t="inlineStr">
        <is>
          <t>(테이블)</t>
        </is>
      </c>
      <c r="D88" s="14" t="inlineStr">
        <is>
          <t>DocumentReference / Citation (R5)</t>
        </is>
      </c>
      <c r="E88" s="15" t="inlineStr">
        <is>
          <t>PlanDefinition.relatedArtifact</t>
        </is>
      </c>
      <c r="F88" s="15" t="inlineStr">
        <is>
          <t>type = citation · display = 문서명 · url · citation = 기관 · 발행일</t>
        </is>
      </c>
      <c r="G88" s="16" t="inlineStr">
        <is>
          <t>변환</t>
        </is>
      </c>
      <c r="H88" s="15" t="inlineStr">
        <is>
          <t>v1.2 · R4는 relatedArtifact로 출처 표시</t>
        </is>
      </c>
    </row>
    <row r="89">
      <c r="A89" s="22" t="inlineStr">
        <is>
          <t>마스터</t>
        </is>
      </c>
      <c r="B89" s="37" t="inlineStr">
        <is>
          <t>lifestyle_medication_links</t>
        </is>
      </c>
      <c r="C89" s="21" t="inlineStr">
        <is>
          <t>requires_clinician · goal_eligible</t>
        </is>
      </c>
      <c r="D89" s="21" t="inlineStr">
        <is>
          <t>—</t>
        </is>
      </c>
      <c r="E89" s="21" t="inlineStr">
        <is>
          <t>extension</t>
        </is>
      </c>
      <c r="F89" s="21" t="inlineStr"/>
      <c r="G89" s="22" t="inlineStr">
        <is>
          <t>확장</t>
        </is>
      </c>
      <c r="H89" s="21" t="inlineStr">
        <is>
          <t>v1.2 · 서비스 표시 규칙</t>
        </is>
      </c>
    </row>
    <row r="90">
      <c r="A90" s="34" t="inlineStr">
        <is>
          <t>분석</t>
        </is>
      </c>
      <c r="B90" s="40" t="inlineStr">
        <is>
          <t>drug_guides</t>
        </is>
      </c>
      <c r="C90" s="36" t="inlineStr">
        <is>
          <t>(테이블)</t>
        </is>
      </c>
      <c r="D90" s="17" t="inlineStr">
        <is>
          <t>—</t>
        </is>
      </c>
      <c r="E90" s="36" t="inlineStr">
        <is>
          <t>—</t>
        </is>
      </c>
      <c r="F90" s="36" t="n"/>
      <c r="G90" s="34" t="inlineStr">
        <is>
          <t>FHIR 외</t>
        </is>
      </c>
      <c r="H90" s="36" t="inlineStr">
        <is>
          <t>미리 저장해 두는 AI 생성 약 안내문 (의료 기록 아님). guides와 같은 이유로 FHIR 대응 없음</t>
        </is>
      </c>
    </row>
    <row r="91">
      <c r="A91" s="16" t="inlineStr">
        <is>
          <t>사용자</t>
        </is>
      </c>
      <c r="B91" s="19" t="inlineStr">
        <is>
          <t>user_health_profiles</t>
        </is>
      </c>
      <c r="C91" s="15" t="inlineStr">
        <is>
          <t>(테이블)</t>
        </is>
      </c>
      <c r="D91" s="14" t="inlineStr">
        <is>
          <t>Observation / Condition / Appointment</t>
        </is>
      </c>
      <c r="E91" s="15" t="inlineStr">
        <is>
          <t>(없음)</t>
        </is>
      </c>
      <c r="F91" s="15" t="n"/>
      <c r="G91" s="16" t="inlineStr">
        <is>
          <t>변환</t>
        </is>
      </c>
      <c r="H91" s="15" t="inlineStr">
        <is>
          <t>v1.5. 흡연, 음주, 키, 몸무게, 임신, 투석은 Observation, 질환은 Condition, 예정 검사는 Appointment로 옮길 수 있음. 코드(LOINC 등) 대응은 확인 전</t>
        </is>
      </c>
    </row>
  </sheetData>
  <autoFilter ref="A5:H90"/>
  <dataValidations count="1">
    <dataValidation sqref="G6:G300" showDropDown="0" showInputMessage="0" showErrorMessage="0" allowBlank="1" type="list">
      <formula1>"일치,변환,확장,FHIR 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2026-09-23T15:33:57Z</dcterms:created>
  <dcterms:modified xsi:type="dcterms:W3CDTF">2026-10-19T05:03:31Z</dcterms:modified>
</cp:coreProperties>
</file>