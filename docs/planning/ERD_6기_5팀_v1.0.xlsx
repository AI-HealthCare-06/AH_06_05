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변경 이력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사용자" sheetId="4" state="visible" r:id="rId4"/>
    <sheet xmlns:r="http://schemas.openxmlformats.org/officeDocument/2006/relationships" name="입력" sheetId="5" state="visible" r:id="rId5"/>
    <sheet xmlns:r="http://schemas.openxmlformats.org/officeDocument/2006/relationships" name="분석" sheetId="6" state="visible" r:id="rId6"/>
    <sheet xmlns:r="http://schemas.openxmlformats.org/officeDocument/2006/relationships" name="챗봇" sheetId="7" state="visible" r:id="rId7"/>
    <sheet xmlns:r="http://schemas.openxmlformats.org/officeDocument/2006/relationships" name="실천·보상" sheetId="8" state="visible" r:id="rId8"/>
    <sheet xmlns:r="http://schemas.openxmlformats.org/officeDocument/2006/relationships" name="마스터" sheetId="9" state="visible" r:id="rId9"/>
  </sheets>
  <definedNames>
    <definedName name="_xlnm._FilterDatabase" localSheetId="3" hidden="1">'사용자'!$A$4:$N$21</definedName>
    <definedName name="_xlnm._FilterDatabase" localSheetId="4" hidden="1">'입력'!$A$4:$N$40</definedName>
    <definedName name="_xlnm._FilterDatabase" localSheetId="5" hidden="1">'분석'!$A$4:$N$47</definedName>
    <definedName name="_xlnm._FilterDatabase" localSheetId="6" hidden="1">'챗봇'!$A$4:$N$20</definedName>
    <definedName name="_xlnm._FilterDatabase" localSheetId="7" hidden="1">'실천·보상'!$A$4:$N$38</definedName>
    <definedName name="_xlnm._FilterDatabase" localSheetId="8" hidden="1">'마스터'!$A$4:$N$86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sz val="11"/>
    </font>
    <font>
      <name val="맑은 고딕"/>
      <b val="1"/>
      <sz val="11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FFFFFF"/>
      <sz val="10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D4ED8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작성 규칙</t>
        </is>
      </c>
      <c r="B1" s="2" t="n"/>
    </row>
    <row r="2">
      <c r="A2" s="3" t="inlineStr">
        <is>
          <t>탭 구성</t>
        </is>
      </c>
      <c r="B2" s="2" t="inlineStr">
        <is>
          <t>작성 규칙 / 변경 이력 / 요약 / 사용자 / 입력 / 분석 / 챗봇 / 실천·보상 / 마스터 — 규칙과 변경 이력을 먼저 확인한 뒤 영역(담당자)별 탭을 수정</t>
        </is>
      </c>
    </row>
    <row r="3">
      <c r="A3" s="3" t="inlineStr">
        <is>
          <t>다이어그램</t>
        </is>
      </c>
      <c r="B3" s="2" t="inlineStr">
        <is>
          <t>같은 폴더의 ERD_6기_5팀_v1.0.dbml을 dbdiagram.io에 붙여넣으면 관계도가 그려짐. 테이블 · 필드를 바꾸면 dbml과 이 엑셀을 함께 고침</t>
        </is>
      </c>
    </row>
    <row r="4">
      <c r="A4" s="3" t="inlineStr">
        <is>
          <t>키</t>
        </is>
      </c>
      <c r="B4" s="2" t="inlineStr">
        <is>
          <t>PK 기본키 · FK 외래키(참조 칸에 대상 테이블.필드) · UQ 유일값</t>
        </is>
      </c>
    </row>
    <row r="5">
      <c r="A5" s="3" t="inlineStr">
        <is>
          <t>필수</t>
        </is>
      </c>
      <c r="B5" s="2" t="inlineStr">
        <is>
          <t>Y = NOT NULL 또는 PK / N = 비어 있어도 됨</t>
        </is>
      </c>
    </row>
    <row r="6">
      <c r="A6" s="3" t="inlineStr">
        <is>
          <t>변경</t>
        </is>
      </c>
      <c r="B6" s="2" t="inlineStr">
        <is>
          <t>v0.1 대비 — 기존 / 수정 (노란 배경) / 신규 (파란 배경)</t>
        </is>
      </c>
    </row>
    <row r="7">
      <c r="A7" s="3" t="inlineStr">
        <is>
          <t>최종 수정</t>
        </is>
      </c>
      <c r="B7" s="2" t="inlineStr">
        <is>
          <t>그 필드가 마지막으로 바뀐 버전. 바꿀 때마다 변경 이력 탭에 버전 요약 한 줄 + 위치 · 현행(As-Is) · 개정(To-Be) 세부 행을 추가 — 현행에는 바꾸기 전 정의(타입 · 키 · 필수 · 설명)를 그대로 적음</t>
        </is>
      </c>
    </row>
    <row r="8">
      <c r="A8" s="3" t="inlineStr">
        <is>
          <t>확인 필요</t>
        </is>
      </c>
      <c r="B8" s="2" t="inlineStr">
        <is>
          <t>🟡 = 담당자 확인 필요 (설명에 누구 확인인지 적음)</t>
        </is>
      </c>
    </row>
    <row r="9">
      <c r="A9" s="3" t="inlineStr">
        <is>
          <t>설계 원칙</t>
        </is>
      </c>
      <c r="B9" s="2" t="inlineStr">
        <is>
          <t>1. 외부 공공데이터는 "마스터"로 분리해 사전 적재 (요청 시 API 호출 안 함)
2. DUR 규칙은 성분 단위로 정규화 (제품 87만행 → 성분 9.7만쌍)
3. 민감정보는 최소 저장 (원본 이미지 미저장, 식별정보 마스킹)
4. 조인 키: 심평원 제품코드(EDI) = 식약처 EDI_CODE
5. 안전성 경고는 DB 조회 결과만 저장 (AI 생성 아님)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4" customWidth="1" min="3" max="3"/>
    <col width="64" customWidth="1" min="4" max="4"/>
    <col width="10" customWidth="1" min="5" max="5"/>
  </cols>
  <sheetData>
    <row r="1" ht="30" customHeight="1">
      <c r="A1" s="4" t="inlineStr">
        <is>
          <t>변경 이력</t>
        </is>
      </c>
    </row>
    <row r="2" ht="30" customHeight="1">
      <c r="A2" s="5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>
      <c r="A3" s="6" t="inlineStr">
        <is>
          <t>버전</t>
        </is>
      </c>
      <c r="B3" s="6" t="inlineStr">
        <is>
          <t>일자</t>
        </is>
      </c>
      <c r="C3" s="6" t="inlineStr">
        <is>
          <t>변경 내용</t>
        </is>
      </c>
      <c r="D3" s="6" t="n"/>
      <c r="E3" s="6" t="inlineStr">
        <is>
          <t>담당</t>
        </is>
      </c>
    </row>
    <row r="4" ht="32" customHeight="1">
      <c r="A4" s="7" t="inlineStr">
        <is>
          <t>v0.1</t>
        </is>
      </c>
      <c r="B4" s="7" t="inlineStr">
        <is>
          <t>2026-09-22</t>
        </is>
      </c>
      <c r="C4" s="8" t="inlineStr">
        <is>
          <t>최초 작성 — 마스터 영역 확정, 사용자 · 입력 · 분석 · 챗봇 영역 초안 (dbml)</t>
        </is>
      </c>
      <c r="D4" s="7" t="n"/>
      <c r="E4" s="7" t="inlineStr">
        <is>
          <t>이형준</t>
        </is>
      </c>
    </row>
    <row r="5" ht="46" customHeight="1">
      <c r="A5" s="7" t="inlineStr">
        <is>
          <t>v1.0</t>
        </is>
      </c>
      <c r="B5" s="7" t="inlineStr">
        <is>
          <t>2026-09-24</t>
        </is>
      </c>
      <c r="C5" s="8" t="inlineStr">
        <is>
          <t>통합 와이어프레임(45개 화면) · API 명세서 v1.0 · 요구사항 v1.0 기준 반영 — 테이블 9개 신규(실천 · 보상 4개 포함), 분석:처방전 1:N, 처방전 질병코드 N개, analyses 단계 · 재시도, 로그인 잠금 · 동의 기록 등</t>
        </is>
      </c>
      <c r="D5" s="7" t="n"/>
      <c r="E5" s="7" t="inlineStr">
        <is>
          <t>이형준</t>
        </is>
      </c>
    </row>
    <row r="6" hidden="1" outlineLevel="1">
      <c r="A6" s="9" t="n"/>
      <c r="B6" s="9" t="inlineStr">
        <is>
          <t>위치</t>
        </is>
      </c>
      <c r="C6" s="9" t="inlineStr">
        <is>
          <t>현행 (As-Is)</t>
        </is>
      </c>
      <c r="D6" s="9" t="inlineStr">
        <is>
          <t>개정 (To-Be)</t>
        </is>
      </c>
      <c r="E6" s="9" t="n"/>
    </row>
    <row r="7" hidden="1" outlineLevel="1" ht="42" customHeight="1">
      <c r="A7" s="10" t="n"/>
      <c r="B7" s="10" t="inlineStr">
        <is>
          <t>users / login_id — 설명 변경</t>
        </is>
      </c>
      <c r="C7" s="10" t="inlineStr">
        <is>
          <t>login_id varchar(100) · UQ · NOT NULL — 이메일 또는 소셜 ID</t>
        </is>
      </c>
      <c r="D7" s="10" t="inlineStr">
        <is>
          <t>login_id varchar(100) · UQ · NOT NULL — 이메일
사유: 소셜 로그인 제외, 이메일 가입만</t>
        </is>
      </c>
      <c r="E7" s="10" t="n"/>
    </row>
    <row r="8" hidden="1" outlineLevel="1" ht="42" customHeight="1">
      <c r="A8" s="10" t="n"/>
      <c r="B8" s="10" t="inlineStr">
        <is>
          <t>users / password_hash — 정의 변경</t>
        </is>
      </c>
      <c r="C8" s="10" t="inlineStr">
        <is>
          <t>password_hash varchar(255) — 소셜 로그인 시 null</t>
        </is>
      </c>
      <c r="D8" s="10" t="inlineStr">
        <is>
          <t>password_hash varchar(255) · NOT NULL
사유: 소셜 로그인 제외 → 항상 필요</t>
        </is>
      </c>
      <c r="E8" s="10" t="n"/>
    </row>
    <row r="9" hidden="1" outlineLevel="1" ht="20" customHeight="1">
      <c r="A9" s="10" t="n"/>
      <c r="B9" s="10" t="inlineStr">
        <is>
          <t>users / nickname — 설명 변경</t>
        </is>
      </c>
      <c r="C9" s="10" t="inlineStr">
        <is>
          <t>nickname varchar(50)</t>
        </is>
      </c>
      <c r="D9" s="10" t="inlineStr">
        <is>
          <t>nickname varchar(50) — 선택 입력. 홈 인사말용</t>
        </is>
      </c>
      <c r="E9" s="10" t="n"/>
    </row>
    <row r="10" hidden="1" outlineLevel="1" ht="28" customHeight="1">
      <c r="A10" s="10" t="n"/>
      <c r="B10" s="10" t="inlineStr">
        <is>
          <t>users / birth_year — 정의 변경</t>
        </is>
      </c>
      <c r="C10" s="10" t="inlineStr">
        <is>
          <t>birth_year smallint — 생년월일 대신 출생연도만 (최소 수집)</t>
        </is>
      </c>
      <c r="D10" s="10" t="inlineStr">
        <is>
          <t>birth_year smallint · NOT NULL — 생년월일 대신 출생연도만 (최소 수집) · 노인주의 · 연령금기 판정</t>
        </is>
      </c>
      <c r="E10" s="10" t="n"/>
    </row>
    <row r="11" hidden="1" outlineLevel="1" ht="20" customHeight="1">
      <c r="A11" s="10" t="n"/>
      <c r="B11" s="10" t="inlineStr">
        <is>
          <t>users / sex — 정의 변경</t>
        </is>
      </c>
      <c r="C11" s="10" t="inlineStr">
        <is>
          <t>sex varchar(1) — M / F</t>
        </is>
      </c>
      <c r="D11" s="10" t="inlineStr">
        <is>
          <t>sex varchar(1) · NOT NULL — M / F</t>
        </is>
      </c>
      <c r="E11" s="10" t="n"/>
    </row>
    <row r="12" hidden="1" outlineLevel="1" ht="42" customHeight="1">
      <c r="A12" s="10" t="n"/>
      <c r="B12" s="10" t="inlineStr">
        <is>
          <t>users / failed_login_count — 필드 추가</t>
        </is>
      </c>
      <c r="C12" s="10" t="inlineStr">
        <is>
          <t>(없음)</t>
        </is>
      </c>
      <c r="D12" s="10" t="inlineStr">
        <is>
          <t>failed_login_count smallint · 기본값 0 — v1.0 · 5회 실패 시 잠금 (CM-01-E1)
사유: A-2 · REQ-002 — 5회 실패 10분 잠금</t>
        </is>
      </c>
      <c r="E12" s="10" t="n"/>
    </row>
    <row r="13" hidden="1" outlineLevel="1" ht="42" customHeight="1">
      <c r="A13" s="10" t="n"/>
      <c r="B13" s="10" t="inlineStr">
        <is>
          <t>users / locked_until — 필드 추가</t>
        </is>
      </c>
      <c r="C13" s="10" t="inlineStr">
        <is>
          <t>(없음)</t>
        </is>
      </c>
      <c r="D13" s="10" t="inlineStr">
        <is>
          <t>locked_until timestamp — v1.0 · 잠금 해제 시각 (CM-01-E2)
사유: A-2 · REQ-002</t>
        </is>
      </c>
      <c r="E13" s="10" t="n"/>
    </row>
    <row r="14" hidden="1" outlineLevel="1" ht="20" customHeight="1">
      <c r="A14" s="10" t="n"/>
      <c r="B14" s="10" t="inlineStr">
        <is>
          <t>users / updated_at — 필드 추가</t>
        </is>
      </c>
      <c r="C14" s="10" t="inlineStr">
        <is>
          <t>(없음)</t>
        </is>
      </c>
      <c r="D14" s="10" t="inlineStr">
        <is>
          <t>updated_at timestamp</t>
        </is>
      </c>
      <c r="E14" s="10" t="n"/>
    </row>
    <row r="15" hidden="1" outlineLevel="1" ht="28" customHeight="1">
      <c r="A15" s="10" t="n"/>
      <c r="B15" s="10" t="inlineStr">
        <is>
          <t>users / deleted_at — 설명 변경</t>
        </is>
      </c>
      <c r="C15" s="10" t="inlineStr">
        <is>
          <t>deleted_at timestamp — 탈퇴 시 소프트 삭제 후 개인정보 파기</t>
        </is>
      </c>
      <c r="D15" s="10" t="inlineStr">
        <is>
          <t>deleted_at timestamp — 탈퇴 시 개인정보 파기 후 시각만 남김 (CM-07)</t>
        </is>
      </c>
      <c r="E15" s="10" t="n"/>
    </row>
    <row r="16" hidden="1" outlineLevel="1" ht="20" customHeight="1">
      <c r="A16" s="10" t="n"/>
      <c r="B16" s="10" t="inlineStr">
        <is>
          <t>users (회원) / 테이블 설명</t>
        </is>
      </c>
      <c r="C16" s="10" t="inlineStr">
        <is>
          <t>개인 식별정보는 최소로 수집. 성명·주민번호·연락처 미수집</t>
        </is>
      </c>
      <c r="D16" s="10" t="inlineStr">
        <is>
          <t>성명 · 주민번호 · 연락처 미수집</t>
        </is>
      </c>
      <c r="E16" s="10" t="n"/>
    </row>
    <row r="17" hidden="1" outlineLevel="1" ht="70" customHeight="1">
      <c r="A17" s="10" t="n"/>
      <c r="B17" s="10" t="inlineStr">
        <is>
          <t>user_consents (동의 기록) — 테이블 신규</t>
        </is>
      </c>
      <c r="C17" s="10" t="inlineStr">
        <is>
          <t>(없음)</t>
        </is>
      </c>
      <c r="D17" s="10" t="inlineStr">
        <is>
          <t>필드 6개: id, user_id, consent_type, agreed, agreed_at, withdrawn_at
v1.0 신규 · CM-02 가입 동의, CM-05 동의 내역
사유: U-4 · U-5 · REQ-005 · 007 — 민감정보 별도 동의 기록</t>
        </is>
      </c>
      <c r="E17" s="10" t="n"/>
    </row>
    <row r="18" hidden="1" outlineLevel="1" ht="42" customHeight="1">
      <c r="A18" s="10" t="n"/>
      <c r="B18" s="10" t="inlineStr">
        <is>
          <t>prescriptions / disease_code — 삭제</t>
        </is>
      </c>
      <c r="C18" s="10" t="inlineStr">
        <is>
          <t>disease_code varchar(10) · FK · → diseases.code — 질병분류기호 (KCD)</t>
        </is>
      </c>
      <c r="D18" s="10" t="inlineStr">
        <is>
          <t>삭제
사유: O-2 · REQ-022 — 질병코드는 주상병 + 부상병 여러 개 → prescription_diseases로 이동</t>
        </is>
      </c>
      <c r="E18" s="10" t="n"/>
    </row>
    <row r="19" hidden="1" outlineLevel="1" ht="56" customHeight="1">
      <c r="A19" s="10" t="n"/>
      <c r="B19" s="10" t="inlineStr">
        <is>
          <t>prescriptions / doc_type — 필드 추가</t>
        </is>
      </c>
      <c r="C19" s="10" t="inlineStr">
        <is>
          <t>(없음)</t>
        </is>
      </c>
      <c r="D19" s="10" t="inlineStr">
        <is>
          <t>doc_type varchar(20) · NOT NULL — v1.0 · prescription(처방전) / pill_bag(약봉투). 약봉투는 질병코드 없음 → RG-05-E1
사유: O-2 · REQ-025 — 약봉투는 질병코드 없음</t>
        </is>
      </c>
      <c r="E19" s="10" t="n"/>
    </row>
    <row r="20" hidden="1" outlineLevel="1" ht="28" customHeight="1">
      <c r="A20" s="10" t="n"/>
      <c r="B20" s="10" t="inlineStr">
        <is>
          <t>prescriptions / ocr_raw_text — 설명 변경</t>
        </is>
      </c>
      <c r="C20" s="10" t="inlineStr">
        <is>
          <t>ocr_raw_text text — OCR 원문 (원본 이미지는 저장하지 않음)</t>
        </is>
      </c>
      <c r="D20" s="10" t="inlineStr">
        <is>
          <t>ocr_raw_text text — OCR 원문 (원본 이미지는 저장하지 않음) · 암호화</t>
        </is>
      </c>
      <c r="E20" s="10" t="n"/>
    </row>
    <row r="21" hidden="1" outlineLevel="1" ht="42" customHeight="1">
      <c r="A21" s="10" t="n"/>
      <c r="B21" s="10" t="inlineStr">
        <is>
          <t>prescriptions / quality_flag — 필드 추가</t>
        </is>
      </c>
      <c r="C21" s="10" t="inlineStr">
        <is>
          <t>(없음)</t>
        </is>
      </c>
      <c r="D21" s="10" t="inlineStr">
        <is>
          <t>quality_flag varchar(20) — v1.0 · ok / low (OC-01-E1에서 "그래도 계속 진행" 시)
사유: OC-01-E1 "그래도 계속 진행"</t>
        </is>
      </c>
      <c r="E21" s="10" t="n"/>
    </row>
    <row r="22" hidden="1" outlineLevel="1" ht="28" customHeight="1">
      <c r="A22" s="10" t="n"/>
      <c r="B22" s="10" t="inlineStr">
        <is>
          <t>prescriptions (처방전 · 약봉투) / 테이블 설명</t>
        </is>
      </c>
      <c r="C22" s="10" t="inlineStr">
        <is>
          <t>업로드된 원본 이미지는 OCR 처리 후 즉시 폐기. 추출 텍스트만 암호화 저장</t>
        </is>
      </c>
      <c r="D22" s="10" t="inlineStr">
        <is>
          <t>사진 1장 = 1행. 업로드된 원본 이미지는 OCR 처리 후 즉시 폐기</t>
        </is>
      </c>
      <c r="E22" s="10" t="n"/>
    </row>
    <row r="23" hidden="1" outlineLevel="1" ht="56" customHeight="1">
      <c r="A23" s="10" t="n"/>
      <c r="B23" s="10" t="inlineStr">
        <is>
          <t>prescription_diseases (처방전 질병코드) — 테이블 신규</t>
        </is>
      </c>
      <c r="C23" s="10" t="inlineStr">
        <is>
          <t>(없음)</t>
        </is>
      </c>
      <c r="D23" s="10" t="inlineStr">
        <is>
          <t>필드 3개: prescription_id, disease_code, is_main
v1.0 신규 · 처방전 질병분류기호는 주상병 + 부상병 여러 개
사유: O-2 · REQ-022</t>
        </is>
      </c>
      <c r="E23" s="10" t="n"/>
    </row>
    <row r="24" hidden="1" outlineLevel="1" ht="28" customHeight="1">
      <c r="A24" s="10" t="n"/>
      <c r="B24" s="10" t="inlineStr">
        <is>
          <t>prescription_items / edi_code — 설명 변경</t>
        </is>
      </c>
      <c r="C24" s="10" t="inlineStr">
        <is>
          <t>edi_code varchar(9) · FK · → drug_products.edi_code — 매칭 실패 시 null</t>
        </is>
      </c>
      <c r="D24" s="10" t="inlineStr">
        <is>
          <t>edi_code varchar(9) · FK · → drug_products.edi_code — 매칭 실패 · 제외 시 null</t>
        </is>
      </c>
      <c r="E24" s="10" t="n"/>
    </row>
    <row r="25" hidden="1" outlineLevel="1" ht="28" customHeight="1">
      <c r="A25" s="10" t="n"/>
      <c r="B25" s="10" t="inlineStr">
        <is>
          <t>prescription_items / match_score — 설명 변경</t>
        </is>
      </c>
      <c r="C25" s="10" t="inlineStr">
        <is>
          <t>match_score decimal(5,4) — 매칭 신뢰도. 낮으면 사용자 확인 UI로</t>
        </is>
      </c>
      <c r="D25" s="10" t="inlineStr">
        <is>
          <t>match_score decimal(5,4)</t>
        </is>
      </c>
      <c r="E25" s="10" t="n"/>
    </row>
    <row r="26" hidden="1" outlineLevel="1" ht="56" customHeight="1">
      <c r="A26" s="10" t="n"/>
      <c r="B26" s="10" t="inlineStr">
        <is>
          <t>prescription_items / match_status — 정의 변경</t>
        </is>
      </c>
      <c r="C26" s="10" t="inlineStr">
        <is>
          <t>match_status varchar(20) — auto / user_confirmed / unmatched</t>
        </is>
      </c>
      <c r="D26" s="10" t="inlineStr">
        <is>
          <t>match_status varchar(20) · NOT NULL — v1.0 · auto / needs_confirm / user_confirmed / unmatched / excluded(빼고 진행)
사유: O-3 · REQ-031~033 — 확인 전 분석 시작 막기 · 점검 제외 약 표시</t>
        </is>
      </c>
      <c r="E26" s="10" t="n"/>
    </row>
    <row r="27" hidden="1" outlineLevel="1" ht="28" customHeight="1">
      <c r="A27" s="10" t="n"/>
      <c r="B27" s="10" t="inlineStr">
        <is>
          <t>prescription_items / dose_per_time — 설명 변경</t>
        </is>
      </c>
      <c r="C27" s="10" t="inlineStr">
        <is>
          <t>dose_per_time decimal(10,3) — 1회 투여량</t>
        </is>
      </c>
      <c r="D27" s="10" t="inlineStr">
        <is>
          <t>dose_per_time decimal(10,3)</t>
        </is>
      </c>
      <c r="E27" s="10" t="n"/>
    </row>
    <row r="28" hidden="1" outlineLevel="1" ht="28" customHeight="1">
      <c r="A28" s="10" t="n"/>
      <c r="B28" s="10" t="inlineStr">
        <is>
          <t>prescription_items / times_per_day — 설명 변경</t>
        </is>
      </c>
      <c r="C28" s="10" t="inlineStr">
        <is>
          <t>times_per_day smallint — 1일 투여 횟수</t>
        </is>
      </c>
      <c r="D28" s="10" t="inlineStr">
        <is>
          <t>times_per_day smallint</t>
        </is>
      </c>
      <c r="E28" s="10" t="n"/>
    </row>
    <row r="29" hidden="1" outlineLevel="1" ht="28" customHeight="1">
      <c r="A29" s="10" t="n"/>
      <c r="B29" s="10" t="inlineStr">
        <is>
          <t>prescription_items / total_days — 설명 변경</t>
        </is>
      </c>
      <c r="C29" s="10" t="inlineStr">
        <is>
          <t>total_days smallint — 총 투약일수</t>
        </is>
      </c>
      <c r="D29" s="10" t="inlineStr">
        <is>
          <t>total_days smallint</t>
        </is>
      </c>
      <c r="E29" s="10" t="n"/>
    </row>
    <row r="30" hidden="1" outlineLevel="1" ht="28" customHeight="1">
      <c r="A30" s="10" t="n"/>
      <c r="B30" s="10" t="inlineStr">
        <is>
          <t>prescription_items / timing — 설명 변경</t>
        </is>
      </c>
      <c r="C30" s="10" t="inlineStr">
        <is>
          <t>timing varchar(50) — 식후30분 등</t>
        </is>
      </c>
      <c r="D30" s="10" t="inlineStr">
        <is>
          <t>timing varchar(50) — 아침 식후 등</t>
        </is>
      </c>
      <c r="E30" s="10" t="n"/>
    </row>
    <row r="31" hidden="1" outlineLevel="1" ht="28" customHeight="1">
      <c r="A31" s="10" t="n"/>
      <c r="B31" s="10" t="inlineStr">
        <is>
          <t>prescription_items (처방 약품) / 테이블 설명</t>
        </is>
      </c>
      <c r="C31" s="10" t="inlineStr">
        <is>
          <t>용법·용량은 OCR 후 LLM으로 구조화. 1일 총량 = dose_per_time * times_per_day</t>
        </is>
      </c>
      <c r="D31" s="10" t="inlineStr">
        <is>
          <t>needs_confirm · unmatched가 남아 있으면 분석 시작 불가 (REQ-033). 1일 총량 = dose_per_time * times_per_day</t>
        </is>
      </c>
      <c r="E31" s="10" t="n"/>
    </row>
    <row r="32" hidden="1" outlineLevel="1" ht="70" customHeight="1">
      <c r="A32" s="10" t="n"/>
      <c r="B32" s="10" t="inlineStr">
        <is>
          <t>prescription_item_candidates (약품 매칭 후보) — 테이블 신규</t>
        </is>
      </c>
      <c r="C32" s="10" t="inlineStr">
        <is>
          <t>(없음)</t>
        </is>
      </c>
      <c r="D32" s="10" t="inlineStr">
        <is>
          <t>필드 4개: item_id, rank, edi_code, score
v1.0 신규 🟡 채연 확인 · OC-02 후보 목록. 매칭 정확도(1순위 적중률 · 5순위 내 포함률) 측정에 필요
사유: O-3 · REQ-031 [채연 확인 필요]</t>
        </is>
      </c>
      <c r="E32" s="10" t="n"/>
    </row>
    <row r="33" hidden="1" outlineLevel="1" ht="28" customHeight="1">
      <c r="A33" s="10" t="n"/>
      <c r="B33" s="10" t="inlineStr">
        <is>
          <t>health_checkups (건강검진 (보류)) / 테이블 설명</t>
        </is>
      </c>
      <c r="C33" s="10" t="inlineStr">
        <is>
          <t>국가건강검진 결과통보서. 전국 통일 서식이라 OCR 난이도가 낮음</t>
        </is>
      </c>
      <c r="D33" s="10" t="inlineStr">
        <is>
          <t>보류 (REQ-015 · 멘토링 확인 후 결정)
사유: REQ-015 보류</t>
        </is>
      </c>
      <c r="E33" s="10" t="n"/>
    </row>
    <row r="34" hidden="1" outlineLevel="1" ht="28" customHeight="1">
      <c r="A34" s="10" t="n"/>
      <c r="B34" s="10" t="inlineStr">
        <is>
          <t>checkup_results / item_code — 설명 변경</t>
        </is>
      </c>
      <c r="C34" s="10" t="inlineStr">
        <is>
          <t>item_code varchar(8) · FK · → checkup_items.code — 공단 건강검진검사항목코드</t>
        </is>
      </c>
      <c r="D34" s="10" t="inlineStr">
        <is>
          <t>item_code varchar(8) · FK · → checkup_items.code</t>
        </is>
      </c>
      <c r="E34" s="10" t="n"/>
    </row>
    <row r="35" hidden="1" outlineLevel="1" ht="28" customHeight="1">
      <c r="A35" s="10" t="n"/>
      <c r="B35" s="10" t="inlineStr">
        <is>
          <t>checkup_results / value_num — 설명 변경</t>
        </is>
      </c>
      <c r="C35" s="10" t="inlineStr">
        <is>
          <t>value_num decimal(12,3) — 수치형 결과</t>
        </is>
      </c>
      <c r="D35" s="10" t="inlineStr">
        <is>
          <t>value_num decimal(12,3)</t>
        </is>
      </c>
      <c r="E35" s="10" t="n"/>
    </row>
    <row r="36" hidden="1" outlineLevel="1" ht="28" customHeight="1">
      <c r="A36" s="10" t="n"/>
      <c r="B36" s="10" t="inlineStr">
        <is>
          <t>checkup_results / value_text — 설명 변경</t>
        </is>
      </c>
      <c r="C36" s="10" t="inlineStr">
        <is>
          <t>value_text varchar(200) — 판정형 결과 (정상/의심/유질환 등)</t>
        </is>
      </c>
      <c r="D36" s="10" t="inlineStr">
        <is>
          <t>value_text varchar(200)</t>
        </is>
      </c>
      <c r="E36" s="10" t="n"/>
    </row>
    <row r="37" hidden="1" outlineLevel="1" ht="28" customHeight="1">
      <c r="A37" s="10" t="n"/>
      <c r="B37" s="10" t="inlineStr">
        <is>
          <t>checkup_results (건강검진 결과 (보류)) / 테이블 설명</t>
        </is>
      </c>
      <c r="C37" s="10" t="inlineStr">
        <is>
          <t>공단이 내린 종합판정(A1112xxx)을 그대로 저장해 인용. 자체 진단하지 않음</t>
        </is>
      </c>
      <c r="D37" s="10" t="inlineStr">
        <is>
          <t>보류 (REQ-015)
사유: REQ-015 보류</t>
        </is>
      </c>
      <c r="E37" s="10" t="n"/>
    </row>
    <row r="38" hidden="1" outlineLevel="1" ht="28" customHeight="1">
      <c r="A38" s="10" t="n"/>
      <c r="B38" s="10" t="inlineStr">
        <is>
          <t>analyses / job_id — 삭제</t>
        </is>
      </c>
      <c r="C38" s="10" t="inlineStr">
        <is>
          <t>job_id uuid · UQ · NOT NULL — 클라이언트 폴링용</t>
        </is>
      </c>
      <c r="D38" s="10" t="inlineStr">
        <is>
          <t>삭제
사유: job_id 대신 id로 폴링</t>
        </is>
      </c>
      <c r="E38" s="10" t="n"/>
    </row>
    <row r="39" hidden="1" outlineLevel="1" ht="42" customHeight="1">
      <c r="A39" s="10" t="n"/>
      <c r="B39" s="10" t="inlineStr">
        <is>
          <t>analyses / prescription_id — 삭제</t>
        </is>
      </c>
      <c r="C39" s="10" t="inlineStr">
        <is>
          <t>prescription_id bigint · FK · → prescriptions.id</t>
        </is>
      </c>
      <c r="D39" s="10" t="inlineStr">
        <is>
          <t>삭제
사유: R-1 · REQ-013 — 여러 처방전 한 번에 점검 → analysis_prescriptions (1:N)</t>
        </is>
      </c>
      <c r="E39" s="10" t="n"/>
    </row>
    <row r="40" hidden="1" outlineLevel="1" ht="28" customHeight="1">
      <c r="A40" s="10" t="n"/>
      <c r="B40" s="10" t="inlineStr">
        <is>
          <t>analyses / checkup_id — 삭제</t>
        </is>
      </c>
      <c r="C40" s="10" t="inlineStr">
        <is>
          <t>checkup_id bigint · FK · → health_checkups.id</t>
        </is>
      </c>
      <c r="D40" s="10" t="inlineStr">
        <is>
          <t>삭제
사유: 건강검진 보류 (REQ-015)</t>
        </is>
      </c>
      <c r="E40" s="10" t="n"/>
    </row>
    <row r="41" hidden="1" outlineLevel="1" ht="28" customHeight="1">
      <c r="A41" s="10" t="n"/>
      <c r="B41" s="10" t="inlineStr">
        <is>
          <t>analyses / error_message — 삭제</t>
        </is>
      </c>
      <c r="C41" s="10" t="inlineStr">
        <is>
          <t>error_message varchar(500)</t>
        </is>
      </c>
      <c r="D41" s="10" t="inlineStr">
        <is>
          <t>삭제
사유: R-2 — 화면 문구는 프론트에서, 서버는 코드만</t>
        </is>
      </c>
      <c r="E41" s="10" t="n"/>
    </row>
    <row r="42" hidden="1" outlineLevel="1" ht="42" customHeight="1">
      <c r="A42" s="10" t="n"/>
      <c r="B42" s="10" t="inlineStr">
        <is>
          <t>analyses / status — 설명 변경</t>
        </is>
      </c>
      <c r="C42" s="10" t="inlineStr">
        <is>
          <t>status varchar(20) · NOT NULL — queued / ocr / searching / generating / done / failed</t>
        </is>
      </c>
      <c r="D42" s="10" t="inlineStr">
        <is>
          <t>status varchar(20) · NOT NULL — v1.0 · queued / running / done / failed
사유: R-2 — 단계는 current_step으로 분리</t>
        </is>
      </c>
      <c r="E42" s="10" t="n"/>
    </row>
    <row r="43" hidden="1" outlineLevel="1" ht="56" customHeight="1">
      <c r="A43" s="10" t="n"/>
      <c r="B43" s="10" t="inlineStr">
        <is>
          <t>analyses / current_step — 필드 추가</t>
        </is>
      </c>
      <c r="C43" s="10" t="inlineStr">
        <is>
          <t>(없음)</t>
        </is>
      </c>
      <c r="D43" s="10" t="inlineStr">
        <is>
          <t>current_step varchar(30) — v1.0 · drug_info / safety_check / guide_generation (RG-01 진행 단계)
사유: R-2 · RG-01 진행 단계 표시</t>
        </is>
      </c>
      <c r="E43" s="10" t="n"/>
    </row>
    <row r="44" hidden="1" outlineLevel="1" ht="42" customHeight="1">
      <c r="A44" s="10" t="n"/>
      <c r="B44" s="10" t="inlineStr">
        <is>
          <t>analyses / failed_step — 필드 추가</t>
        </is>
      </c>
      <c r="C44" s="10" t="inlineStr">
        <is>
          <t>(없음)</t>
        </is>
      </c>
      <c r="D44" s="10" t="inlineStr">
        <is>
          <t>failed_step varchar(30) — v1.0 · 실패한 단계 (RG-01-E1)
사유: R-2 · R-3 · REQ-055 · 056</t>
        </is>
      </c>
      <c r="E44" s="10" t="n"/>
    </row>
    <row r="45" hidden="1" outlineLevel="1" ht="28" customHeight="1">
      <c r="A45" s="10" t="n"/>
      <c r="B45" s="10" t="inlineStr">
        <is>
          <t>analyses / error_code — 필드 추가</t>
        </is>
      </c>
      <c r="C45" s="10" t="inlineStr">
        <is>
          <t>(없음)</t>
        </is>
      </c>
      <c r="D45" s="10" t="inlineStr">
        <is>
          <t>error_code varchar(50) — GUIDE_GENERATION_FAILED / SAFETY_CHECK_FAILED / TIMEOUT</t>
        </is>
      </c>
      <c r="E45" s="10" t="n"/>
    </row>
    <row r="46" hidden="1" outlineLevel="1" ht="42" customHeight="1">
      <c r="A46" s="10" t="n"/>
      <c r="B46" s="10" t="inlineStr">
        <is>
          <t>analyses / retry_count — 필드 추가</t>
        </is>
      </c>
      <c r="C46" s="10" t="inlineStr">
        <is>
          <t>(없음)</t>
        </is>
      </c>
      <c r="D46" s="10" t="inlineStr">
        <is>
          <t>retry_count smallint · 기본값 0 — v1.0 · 3회 초과 시 재시도 막음 (REQ-055)
사유: R-3 · REQ-055</t>
        </is>
      </c>
      <c r="E46" s="10" t="n"/>
    </row>
    <row r="47" hidden="1" outlineLevel="1" ht="28" customHeight="1">
      <c r="A47" s="10" t="n"/>
      <c r="B47" s="10" t="inlineStr">
        <is>
          <t>analyses / user_birth_year — 필드 추가</t>
        </is>
      </c>
      <c r="C47" s="10" t="inlineStr">
        <is>
          <t>(없음)</t>
        </is>
      </c>
      <c r="D47" s="10" t="inlineStr">
        <is>
          <t>user_birth_year smallint — 분석 시점 출생연도 스냅샷 — 정보 수정해도 지난 결과는 그대로 (CM-06)</t>
        </is>
      </c>
      <c r="E47" s="10" t="n"/>
    </row>
    <row r="48" hidden="1" outlineLevel="1" ht="28" customHeight="1">
      <c r="A48" s="10" t="n"/>
      <c r="B48" s="10" t="inlineStr">
        <is>
          <t>analyses / created_at — 필드 추가</t>
        </is>
      </c>
      <c r="C48" s="10" t="inlineStr">
        <is>
          <t>(없음)</t>
        </is>
      </c>
      <c r="D48" s="10" t="inlineStr">
        <is>
          <t>created_at timestamp · 기본값 now()</t>
        </is>
      </c>
      <c r="E48" s="10" t="n"/>
    </row>
    <row r="49" hidden="1" outlineLevel="1" ht="28" customHeight="1">
      <c r="A49" s="10" t="n"/>
      <c r="B49" s="10" t="inlineStr">
        <is>
          <t>analyses (분석 작업) / 테이블 설명</t>
        </is>
      </c>
      <c r="C49" s="10" t="inlineStr">
        <is>
          <t>안내문 생성은 수십 초 소요 → 비동기 작업으로 분리</t>
        </is>
      </c>
      <c r="D49" s="10" t="inlineStr">
        <is>
          <t>v1.0 · prescription_id 칸 삭제 → analysis_prescriptions로 1:N. job_id 대신 id로 폴링</t>
        </is>
      </c>
      <c r="E49" s="10" t="n"/>
    </row>
    <row r="50" hidden="1" outlineLevel="1" ht="56" customHeight="1">
      <c r="A50" s="10" t="n"/>
      <c r="B50" s="10" t="inlineStr">
        <is>
          <t>analysis_prescriptions (분석-처방전 연결) — 테이블 신규</t>
        </is>
      </c>
      <c r="C50" s="10" t="inlineStr">
        <is>
          <t>(없음)</t>
        </is>
      </c>
      <c r="D50" s="10" t="inlineStr">
        <is>
          <t>필드 2개: analysis_id, prescription_id
v1.0 신규 · 여러 병원 처방전을 한 번에 점검 (최대 5장, REQ-013)
사유: R-1 · REQ-013</t>
        </is>
      </c>
      <c r="E50" s="10" t="n"/>
    </row>
    <row r="51" hidden="1" outlineLevel="1" ht="56" customHeight="1">
      <c r="A51" s="10" t="n"/>
      <c r="B51" s="10" t="inlineStr">
        <is>
          <t>analysis_diseases (분석 질환) — 테이블 신규</t>
        </is>
      </c>
      <c r="C51" s="10" t="inlineStr">
        <is>
          <t>(없음)</t>
        </is>
      </c>
      <c r="D51" s="10" t="inlineStr">
        <is>
          <t>필드 3개: analysis_id, disease_code, origin
v1.0 신규 · 생활습관 가이드 조회 기준
사유: R-6 · REQ-063</t>
        </is>
      </c>
      <c r="E51" s="10" t="n"/>
    </row>
    <row r="52" hidden="1" outlineLevel="1" ht="28" customHeight="1">
      <c r="A52" s="10" t="n"/>
      <c r="B52" s="10" t="inlineStr">
        <is>
          <t>analysis_warnings / subject_a — 삭제</t>
        </is>
      </c>
      <c r="C52" s="10" t="inlineStr">
        <is>
          <t>subject_a varchar(300) — 대상 약품명</t>
        </is>
      </c>
      <c r="D52" s="10" t="inlineStr">
        <is>
          <t>삭제
사유: 약 이름 대신 항목 참조 (처방 병원 표시용) → item_id_a</t>
        </is>
      </c>
      <c r="E52" s="10" t="n"/>
    </row>
    <row r="53" hidden="1" outlineLevel="1" ht="28" customHeight="1">
      <c r="A53" s="10" t="n"/>
      <c r="B53" s="10" t="inlineStr">
        <is>
          <t>analysis_warnings / subject_b — 삭제</t>
        </is>
      </c>
      <c r="C53" s="10" t="inlineStr">
        <is>
          <t>subject_b varchar(300) — 상대 약품명 (병용금기 등)</t>
        </is>
      </c>
      <c r="D53" s="10" t="inlineStr">
        <is>
          <t>삭제
사유: → item_id_b</t>
        </is>
      </c>
      <c r="E53" s="10" t="n"/>
    </row>
    <row r="54" hidden="1" outlineLevel="1" ht="70" customHeight="1">
      <c r="A54" s="10" t="n"/>
      <c r="B54" s="10" t="inlineStr">
        <is>
          <t>analysis_warnings / warning_type — 설명 변경</t>
        </is>
      </c>
      <c r="C54" s="10" t="inlineStr">
        <is>
          <t>warning_type varchar(30) · NOT NULL — interaction / duplicate_ingredient / duplicate_efficacy / elderly / age / pregnancy / dose_exceed</t>
        </is>
      </c>
      <c r="D54" s="10" t="inlineStr">
        <is>
          <t>warning_type varchar(30) · NOT NULL — interaction / duplicate_ingredient / duplicate_efficacy / elderly / age / pregnancy / dose_exceed / polypharmacy(v1.0 🟡)
사유: REQ-049 [팀 확인 필요]</t>
        </is>
      </c>
      <c r="E54" s="10" t="n"/>
    </row>
    <row r="55" hidden="1" outlineLevel="1" ht="28" customHeight="1">
      <c r="A55" s="10" t="n"/>
      <c r="B55" s="10" t="inlineStr">
        <is>
          <t>analysis_warnings / severity — 정의 변경</t>
        </is>
      </c>
      <c r="C55" s="10" t="inlineStr">
        <is>
          <t>severity varchar(10) — danger / caution / info</t>
        </is>
      </c>
      <c r="D55" s="10" t="inlineStr">
        <is>
          <t>severity varchar(10) · NOT NULL — danger / caution / info</t>
        </is>
      </c>
      <c r="E55" s="10" t="n"/>
    </row>
    <row r="56" hidden="1" outlineLevel="1" ht="28" customHeight="1">
      <c r="A56" s="10" t="n"/>
      <c r="B56" s="10" t="inlineStr">
        <is>
          <t>analysis_warnings / item_id_a — 필드 추가</t>
        </is>
      </c>
      <c r="C56" s="10" t="inlineStr">
        <is>
          <t>(없음)</t>
        </is>
      </c>
      <c r="D56" s="10" t="inlineStr">
        <is>
          <t>item_id_a bigint · FK · → prescription_items.id — v1.0 · 약 이름 대신 항목 참조 (처방 병원 표시용)</t>
        </is>
      </c>
      <c r="E56" s="10" t="n"/>
    </row>
    <row r="57" hidden="1" outlineLevel="1" ht="28" customHeight="1">
      <c r="A57" s="10" t="n"/>
      <c r="B57" s="10" t="inlineStr">
        <is>
          <t>analysis_warnings / item_id_b — 필드 추가</t>
        </is>
      </c>
      <c r="C57" s="10" t="inlineStr">
        <is>
          <t>(없음)</t>
        </is>
      </c>
      <c r="D57" s="10" t="inlineStr">
        <is>
          <t>item_id_b bigint · FK · → prescription_items.id — 상대 약 (병용금기 · 중복)</t>
        </is>
      </c>
      <c r="E57" s="10" t="n"/>
    </row>
    <row r="58" hidden="1" outlineLevel="1" ht="28" customHeight="1">
      <c r="A58" s="10" t="n"/>
      <c r="B58" s="10" t="inlineStr">
        <is>
          <t>analysis_warnings / reason — 설명 변경</t>
        </is>
      </c>
      <c r="C58" s="10" t="inlineStr">
        <is>
          <t>reason text — 금기 사유 원문</t>
        </is>
      </c>
      <c r="D58" s="10" t="inlineStr">
        <is>
          <t>reason text — DUR 금기 사유 원문</t>
        </is>
      </c>
      <c r="E58" s="10" t="n"/>
    </row>
    <row r="59" hidden="1" outlineLevel="1" ht="42" customHeight="1">
      <c r="A59" s="10" t="n"/>
      <c r="B59" s="10" t="inlineStr">
        <is>
          <t>analysis_warnings / summary — 필드 추가</t>
        </is>
      </c>
      <c r="C59" s="10" t="inlineStr">
        <is>
          <t>(없음)</t>
        </is>
      </c>
      <c r="D59" s="10" t="inlineStr">
        <is>
          <t>summary text — v1.0 · 화면 표시 문장 (템플릿, AI 생성 아님 · NFR-032)
사유: NFR-032 — 템플릿 문장, AI 생성 아님</t>
        </is>
      </c>
      <c r="E59" s="10" t="n"/>
    </row>
    <row r="60" hidden="1" outlineLevel="1" ht="28" customHeight="1">
      <c r="A60" s="10" t="n"/>
      <c r="B60" s="10" t="inlineStr">
        <is>
          <t>analysis_warnings / source — 설명 변경</t>
        </is>
      </c>
      <c r="C60" s="10" t="inlineStr">
        <is>
          <t>source varchar(100) — 식약처 고시 YYYY-MM-DD 등 출처</t>
        </is>
      </c>
      <c r="D60" s="10" t="inlineStr">
        <is>
          <t>source varchar(100) — 식약처 고시명</t>
        </is>
      </c>
      <c r="E60" s="10" t="n"/>
    </row>
    <row r="61" hidden="1" outlineLevel="1" ht="28" customHeight="1">
      <c r="A61" s="10" t="n"/>
      <c r="B61" s="10" t="inlineStr">
        <is>
          <t>analysis_warnings / notice_date — 필드 추가</t>
        </is>
      </c>
      <c r="C61" s="10" t="inlineStr">
        <is>
          <t>(없음)</t>
        </is>
      </c>
      <c r="D61" s="10" t="inlineStr">
        <is>
          <t>notice_date date</t>
        </is>
      </c>
      <c r="E61" s="10" t="n"/>
    </row>
    <row r="62" hidden="1" outlineLevel="1" ht="28" customHeight="1">
      <c r="A62" s="10" t="n"/>
      <c r="B62" s="10" t="inlineStr">
        <is>
          <t>analysis_warnings / daily_total — 필드 추가</t>
        </is>
      </c>
      <c r="C62" s="10" t="inlineStr">
        <is>
          <t>(없음)</t>
        </is>
      </c>
      <c r="D62" s="10" t="inlineStr">
        <is>
          <t>daily_total decimal(12,3) — 1일 최대용량 초과일 때만</t>
        </is>
      </c>
      <c r="E62" s="10" t="n"/>
    </row>
    <row r="63" hidden="1" outlineLevel="1" ht="28" customHeight="1">
      <c r="A63" s="10" t="n"/>
      <c r="B63" s="10" t="inlineStr">
        <is>
          <t>analysis_warnings / max_daily — 필드 추가</t>
        </is>
      </c>
      <c r="C63" s="10" t="inlineStr">
        <is>
          <t>(없음)</t>
        </is>
      </c>
      <c r="D63" s="10" t="inlineStr">
        <is>
          <t>max_daily decimal(12,3)</t>
        </is>
      </c>
      <c r="E63" s="10" t="n"/>
    </row>
    <row r="64" hidden="1" outlineLevel="1" ht="28" customHeight="1">
      <c r="A64" s="10" t="n"/>
      <c r="B64" s="10" t="inlineStr">
        <is>
          <t>analysis_warnings (안전성 경고) / 테이블 설명</t>
        </is>
      </c>
      <c r="C64" s="10" t="inlineStr">
        <is>
          <t>DB 조회로 결정적으로 산출. LLM이 생성하지 않음 → 환각 불가</t>
        </is>
      </c>
      <c r="D64" s="10" t="inlineStr">
        <is>
          <t>DB 조회로 결정적으로 산출. 0건이면 RG-02-E1</t>
        </is>
      </c>
      <c r="E64" s="10" t="n"/>
    </row>
    <row r="65" hidden="1" outlineLevel="1" ht="28" customHeight="1">
      <c r="A65" s="10" t="n"/>
      <c r="B65" s="10" t="inlineStr">
        <is>
          <t>guides / section — 설명 변경</t>
        </is>
      </c>
      <c r="C65" s="10" t="inlineStr">
        <is>
          <t>section varchar(30) — medication / lifestyle / summary</t>
        </is>
      </c>
      <c r="D65" s="10" t="inlineStr">
        <is>
          <t>section varchar(30) — medication / lifestyle</t>
        </is>
      </c>
      <c r="E65" s="10" t="n"/>
    </row>
    <row r="66" hidden="1" outlineLevel="1" ht="56" customHeight="1">
      <c r="A66" s="10" t="n"/>
      <c r="B66" s="10" t="inlineStr">
        <is>
          <t>guides / status — 필드 추가</t>
        </is>
      </c>
      <c r="C66" s="10" t="inlineStr">
        <is>
          <t>(없음)</t>
        </is>
      </c>
      <c r="D66" s="10" t="inlineStr">
        <is>
          <t>status varchar(20) — v1.0 · done / failed (부분 결과 RG-01-E1 → RG-04 · RG-05 "만들지 못했어요")
사유: REQ-056 부분 결과 [팀 확인 필요]</t>
        </is>
      </c>
      <c r="E66" s="10" t="n"/>
    </row>
    <row r="67" hidden="1" outlineLevel="1" ht="56" customHeight="1">
      <c r="A67" s="10" t="n"/>
      <c r="B67" s="10" t="inlineStr">
        <is>
          <t>guides / content — 정의 변경</t>
        </is>
      </c>
      <c r="C67" s="10" t="inlineStr">
        <is>
          <t>content text</t>
        </is>
      </c>
      <c r="D67" s="10" t="inlineStr">
        <is>
          <t>content jsonb — v1.0 · 항목 고정 JSON (약별 purpose · howToTake · caution · source) — 결과 일관성 NFR-030
사유: NFR-030 결과 일관성 — 항목 고정 JSON</t>
        </is>
      </c>
      <c r="E67" s="10" t="n"/>
    </row>
    <row r="68" hidden="1" outlineLevel="1" ht="28" customHeight="1">
      <c r="A68" s="10" t="n"/>
      <c r="B68" s="10" t="inlineStr">
        <is>
          <t>guides / prompt_ver — 설명 변경</t>
        </is>
      </c>
      <c r="C68" s="10" t="inlineStr">
        <is>
          <t>prompt_ver varchar(20) — 프롬프트 버전 — 실험 추적용</t>
        </is>
      </c>
      <c r="D68" s="10" t="inlineStr">
        <is>
          <t>prompt_ver varchar(20)</t>
        </is>
      </c>
      <c r="E68" s="10" t="n"/>
    </row>
    <row r="69" hidden="1" outlineLevel="1" ht="28" customHeight="1">
      <c r="A69" s="10" t="n"/>
      <c r="B69" s="10" t="inlineStr">
        <is>
          <t>guides / model_name — 설명 변경</t>
        </is>
      </c>
      <c r="C69" s="10" t="inlineStr">
        <is>
          <t>model_name varchar(50) — gpt-4o-mini / gpt-4o</t>
        </is>
      </c>
      <c r="D69" s="10" t="inlineStr">
        <is>
          <t>model_name varchar(50)</t>
        </is>
      </c>
      <c r="E69" s="10" t="n"/>
    </row>
    <row r="70" hidden="1" outlineLevel="1" ht="28" customHeight="1">
      <c r="A70" s="10" t="n"/>
      <c r="B70" s="10" t="inlineStr">
        <is>
          <t>guides / tts_url — 설명 변경</t>
        </is>
      </c>
      <c r="C70" s="10" t="inlineStr">
        <is>
          <t>tts_url varchar(500) — 음성 변환 결과 (선택 구현)</t>
        </is>
      </c>
      <c r="D70" s="10" t="inlineStr">
        <is>
          <t>tts_url varchar(500) — 선택 구현 (REQ-100)</t>
        </is>
      </c>
      <c r="E70" s="10" t="n"/>
    </row>
    <row r="71" hidden="1" outlineLevel="1" ht="28" customHeight="1">
      <c r="A71" s="10" t="n"/>
      <c r="B71" s="10" t="inlineStr">
        <is>
          <t>guides (복약 · 생활습관 안내문) / 테이블 설명</t>
        </is>
      </c>
      <c r="C71" s="10" t="inlineStr">
        <is>
          <t>prompt_ver + model_name 기록 → 평가항목 3-1(성능 검증), 3-3(결과 편차)</t>
        </is>
      </c>
      <c r="D71" s="10" t="inlineStr">
        <is>
          <t>(삭제)</t>
        </is>
      </c>
      <c r="E71" s="10" t="n"/>
    </row>
    <row r="72" hidden="1" outlineLevel="1" ht="28" customHeight="1">
      <c r="A72" s="10" t="n"/>
      <c r="B72" s="10" t="inlineStr">
        <is>
          <t>feedbacks / rating — 설명 변경</t>
        </is>
      </c>
      <c r="C72" s="10" t="inlineStr">
        <is>
          <t>rating smallint — 1 = 도움됨 / -1 = 도움 안 됨</t>
        </is>
      </c>
      <c r="D72" s="10" t="inlineStr">
        <is>
          <t>rating smallint — 1 = 도움됐어요 / -1 = 도움 안 됐어요</t>
        </is>
      </c>
      <c r="E72" s="10" t="n"/>
    </row>
    <row r="73" hidden="1" outlineLevel="1" ht="28" customHeight="1">
      <c r="A73" s="10" t="n"/>
      <c r="B73" s="10" t="inlineStr">
        <is>
          <t>feedbacks (안내문 피드백) / 테이블 설명</t>
        </is>
      </c>
      <c r="C73" s="10" t="inlineStr">
        <is>
          <t>평가항목 3-4 (사용자 피드백 수집 → 저장 → 개선 구조)</t>
        </is>
      </c>
      <c r="D73" s="10" t="inlineStr">
        <is>
          <t>(삭제)</t>
        </is>
      </c>
      <c r="E73" s="10" t="n"/>
    </row>
    <row r="74" hidden="1" outlineLevel="1" ht="28" customHeight="1">
      <c r="A74" s="10" t="n"/>
      <c r="B74" s="10" t="inlineStr">
        <is>
          <t>chat_sessions / analysis_id — 설명 변경</t>
        </is>
      </c>
      <c r="C74" s="10" t="inlineStr">
        <is>
          <t>analysis_id bigint · FK · → analyses.id — 어떤 분석 결과에 대한 대화인지</t>
        </is>
      </c>
      <c r="D74" s="10" t="inlineStr">
        <is>
          <t>analysis_id bigint · FK · → analyses.id — null이면 일반 질문 모드 (분석 전)</t>
        </is>
      </c>
      <c r="E74" s="10" t="n"/>
    </row>
    <row r="75" hidden="1" outlineLevel="1" ht="28" customHeight="1">
      <c r="A75" s="10" t="n"/>
      <c r="B75" s="10" t="inlineStr">
        <is>
          <t>chat_sessions / context_type — 필드 추가</t>
        </is>
      </c>
      <c r="C75" s="10" t="inlineStr">
        <is>
          <t>(없음)</t>
        </is>
      </c>
      <c r="D75" s="10" t="inlineStr">
        <is>
          <t>context_type varchar(20) — v1.0 · warning / drug (CB-01-E2에서 무엇을 알고 시작했는지)</t>
        </is>
      </c>
      <c r="E75" s="10" t="n"/>
    </row>
    <row r="76" hidden="1" outlineLevel="1" ht="28" customHeight="1">
      <c r="A76" s="10" t="n"/>
      <c r="B76" s="10" t="inlineStr">
        <is>
          <t>chat_sessions / context_ref — 필드 추가</t>
        </is>
      </c>
      <c r="C76" s="10" t="inlineStr">
        <is>
          <t>(없음)</t>
        </is>
      </c>
      <c r="D76" s="10" t="inlineStr">
        <is>
          <t>context_ref bigint — v1.0 · analysis_warnings.id 또는 prescription_items.id</t>
        </is>
      </c>
      <c r="E76" s="10" t="n"/>
    </row>
    <row r="77" hidden="1" outlineLevel="1" ht="28" customHeight="1">
      <c r="A77" s="10" t="n"/>
      <c r="B77" s="10" t="inlineStr">
        <is>
          <t>chat_sessions / title — 필드 추가</t>
        </is>
      </c>
      <c r="C77" s="10" t="inlineStr">
        <is>
          <t>(없음)</t>
        </is>
      </c>
      <c r="D77" s="10" t="inlineStr">
        <is>
          <t>title varchar(100) — v1.0 🟡 수인 확인 · 대화 제목 자동 생성 · 수정 (CB-03)</t>
        </is>
      </c>
      <c r="E77" s="10" t="n"/>
    </row>
    <row r="78" hidden="1" outlineLevel="1" ht="28" customHeight="1">
      <c r="A78" s="10" t="n"/>
      <c r="B78" s="10" t="inlineStr">
        <is>
          <t>chat_sessions / summary — 필드 추가</t>
        </is>
      </c>
      <c r="C78" s="10" t="inlineStr">
        <is>
          <t>(없음)</t>
        </is>
      </c>
      <c r="D78" s="10" t="inlineStr">
        <is>
          <t>summary text — v1.0 🟡 수인 확인 · 오래된 대화 요약 (맥락 압축)</t>
        </is>
      </c>
      <c r="E78" s="10" t="n"/>
    </row>
    <row r="79" hidden="1" outlineLevel="1" ht="28" customHeight="1">
      <c r="A79" s="10" t="n"/>
      <c r="B79" s="10" t="inlineStr">
        <is>
          <t>chat_sessions / updated_at — 필드 추가</t>
        </is>
      </c>
      <c r="C79" s="10" t="inlineStr">
        <is>
          <t>(없음)</t>
        </is>
      </c>
      <c r="D79" s="10" t="inlineStr">
        <is>
          <t>updated_at timestamp</t>
        </is>
      </c>
      <c r="E79" s="10" t="n"/>
    </row>
    <row r="80" hidden="1" outlineLevel="1" ht="42" customHeight="1">
      <c r="A80" s="10" t="n"/>
      <c r="B80" s="10" t="inlineStr">
        <is>
          <t>chat_sessions (대화) / 테이블 설명</t>
        </is>
      </c>
      <c r="C80" s="10" t="inlineStr">
        <is>
          <t>(없음)</t>
        </is>
      </c>
      <c r="D80" s="10" t="inlineStr">
        <is>
          <t>날짜별 여러 대화 구조로 갈지 팀 확정 필요 (REQ-077)
사유: REQ-075 · 077 [수인 확인 필요]</t>
        </is>
      </c>
      <c r="E80" s="10" t="n"/>
    </row>
    <row r="81" hidden="1" outlineLevel="1" ht="28" customHeight="1">
      <c r="A81" s="10" t="n"/>
      <c r="B81" s="10" t="inlineStr">
        <is>
          <t>chat_messages / answer_type — 필드 추가</t>
        </is>
      </c>
      <c r="C81" s="10" t="inlineStr">
        <is>
          <t>(없음)</t>
        </is>
      </c>
      <c r="D81" s="10" t="inlineStr">
        <is>
          <t>answer_type varchar(20) — v1.0 · answered / refused_medical(의료진 상담 필요) / no_evidence(확인이 어렵습니다)</t>
        </is>
      </c>
      <c r="E81" s="10" t="n"/>
    </row>
    <row r="82" hidden="1" outlineLevel="1" ht="28" customHeight="1">
      <c r="A82" s="10" t="n"/>
      <c r="B82" s="10" t="inlineStr">
        <is>
          <t>chat_messages / sources — 필드 추가</t>
        </is>
      </c>
      <c r="C82" s="10" t="inlineStr">
        <is>
          <t>(없음)</t>
        </is>
      </c>
      <c r="D82" s="10" t="inlineStr">
        <is>
          <t>sources jsonb — v1.0 · 답변 근거 출처</t>
        </is>
      </c>
      <c r="E82" s="10" t="n"/>
    </row>
    <row r="83" hidden="1" outlineLevel="1" ht="28" customHeight="1">
      <c r="A83" s="10" t="n"/>
      <c r="B83" s="10" t="inlineStr">
        <is>
          <t>chat_messages (대화 메시지) / 테이블 설명</t>
        </is>
      </c>
      <c r="C83" s="10" t="inlineStr">
        <is>
          <t>대화 맥락 반영을 위해 최근 N개 메시지를 프롬프트에 포함</t>
        </is>
      </c>
      <c r="D83" s="10" t="inlineStr">
        <is>
          <t>(삭제)</t>
        </is>
      </c>
      <c r="E83" s="10" t="n"/>
    </row>
    <row r="84" hidden="1" outlineLevel="1" ht="84" customHeight="1">
      <c r="A84" s="10" t="n"/>
      <c r="B84" s="10" t="inlineStr">
        <is>
          <t>recommendations (생활습관 추천) — 테이블 신규</t>
        </is>
      </c>
      <c r="C84" s="10" t="inlineStr">
        <is>
          <t>(없음)</t>
        </is>
      </c>
      <c r="D84" s="10" t="inlineStr">
        <is>
          <t>필드 10개: id, analysis_id, guide_id, medication_link_id, title, reason_label, goal_type, target_value, unit, rank
AI 추천만으로는 목표가 되지 않음 — 사용자가 골라야 habit_goals 생성 (REQ-110)
사유: REQ-110~117 — 성규님 데이터 흐름 기준 [성규 확인 필요]</t>
        </is>
      </c>
      <c r="E84" s="10" t="n"/>
    </row>
    <row r="85" hidden="1" outlineLevel="1" ht="84" customHeight="1">
      <c r="A85" s="10" t="n"/>
      <c r="B85" s="10" t="inlineStr">
        <is>
          <t>habit_goals (실천 목표) — 테이블 신규</t>
        </is>
      </c>
      <c r="C85" s="10" t="inlineStr">
        <is>
          <t>(없음)</t>
        </is>
      </c>
      <c r="D85" s="10" t="inlineStr">
        <is>
          <t>필드 11개: id, user_id, recommendation_id, title, goal_type, target_value, unit, start_date, end_date, status, created_at
최대 3개 활성 (REQ-111)
사유: REQ-111 · 116 [성규 확인 필요]</t>
        </is>
      </c>
      <c r="E85" s="10" t="n"/>
    </row>
    <row r="86" hidden="1" outlineLevel="1" ht="42" customHeight="1">
      <c r="A86" s="10" t="n"/>
      <c r="B86" s="10" t="inlineStr">
        <is>
          <t>habit_records (실천 기록) — 테이블 신규</t>
        </is>
      </c>
      <c r="C86" s="10" t="inlineStr">
        <is>
          <t>(없음)</t>
        </is>
      </c>
      <c r="D86" s="10" t="inlineStr">
        <is>
          <t>필드 6개: id, goal_id, record_date, value, completed, created_at
사유: REQ-112 · 115 [성규 확인 필요]</t>
        </is>
      </c>
      <c r="E86" s="10" t="n"/>
    </row>
    <row r="87" hidden="1" outlineLevel="1" ht="42" customHeight="1">
      <c r="A87" s="10" t="n"/>
      <c r="B87" s="10" t="inlineStr">
        <is>
          <t>rewards (포인트) — 테이블 신규</t>
        </is>
      </c>
      <c r="C87" s="10" t="inlineStr">
        <is>
          <t>(없음)</t>
        </is>
      </c>
      <c r="D87" s="10" t="inlineStr">
        <is>
          <t>필드 7개: id, user_id, record_id, reward_type, points, reward_date, created_at
사유: REQ-113 [성규 확인 필요]</t>
        </is>
      </c>
      <c r="E87" s="10" t="n"/>
    </row>
  </sheetData>
  <mergeCells count="5">
    <mergeCell ref="A2:E2"/>
    <mergeCell ref="C5:D5"/>
    <mergeCell ref="A1:E1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>
      <c r="A1" s="11" t="inlineStr">
        <is>
          <t>ERD v1.0 · 5팀 · 진료 기록 기반 복약 안내 및 생활습관 개선 가이드 자동 생성 시스템</t>
        </is>
      </c>
    </row>
    <row r="2">
      <c r="A2" s="12" t="inlineStr">
        <is>
          <t>작성 2026-09-24 · 영역별로 담당자가 관리 · 테이블 수 · 필드 수는 각 탭에서 자동 집계 (행을 추가해도 반영됨)</t>
        </is>
      </c>
    </row>
    <row r="4">
      <c r="A4" s="13" t="inlineStr">
        <is>
          <t>탭</t>
        </is>
      </c>
      <c r="B4" s="13" t="inlineStr">
        <is>
          <t>담당 · 범위</t>
        </is>
      </c>
      <c r="C4" s="13" t="inlineStr">
        <is>
          <t>테이블</t>
        </is>
      </c>
      <c r="D4" s="13" t="inlineStr">
        <is>
          <t>필드</t>
        </is>
      </c>
      <c r="E4" s="13" t="inlineStr">
        <is>
          <t>신규 필드</t>
        </is>
      </c>
      <c r="F4" s="13" t="inlineStr">
        <is>
          <t>수정 필드</t>
        </is>
      </c>
    </row>
    <row r="5">
      <c r="A5" s="14" t="inlineStr">
        <is>
          <t>사용자</t>
        </is>
      </c>
      <c r="B5" s="15" t="inlineStr">
        <is>
          <t>형준 · 회원 · 동의</t>
        </is>
      </c>
      <c r="C5" s="16">
        <f>SUMPRODUCT(('사용자'!$A$5:$A$300&lt;&gt;"")/COUNTIF('사용자'!$A$5:$A$300,'사용자'!$A$5:$A$300&amp;""))</f>
        <v/>
      </c>
      <c r="D5" s="16">
        <f>COUNTA('사용자'!$C$5:$C$300)</f>
        <v/>
      </c>
      <c r="E5" s="16">
        <f>COUNTIF('사용자'!$L$5:$L$300,"신규")</f>
        <v/>
      </c>
      <c r="F5" s="16">
        <f>COUNTIF('사용자'!$L$5:$L$300,"수정")</f>
        <v/>
      </c>
    </row>
    <row r="6">
      <c r="A6" s="14" t="inlineStr">
        <is>
          <t>입력</t>
        </is>
      </c>
      <c r="B6" s="15" t="inlineStr">
        <is>
          <t>채연 · 처방전 · 약봉투 · OCR · 약품 매칭</t>
        </is>
      </c>
      <c r="C6" s="16">
        <f>SUMPRODUCT(('입력'!$A$5:$A$300&lt;&gt;"")/COUNTIF('입력'!$A$5:$A$300,'입력'!$A$5:$A$300&amp;""))</f>
        <v/>
      </c>
      <c r="D6" s="16">
        <f>COUNTA('입력'!$C$5:$C$300)</f>
        <v/>
      </c>
      <c r="E6" s="16">
        <f>COUNTIF('입력'!$L$5:$L$300,"신규")</f>
        <v/>
      </c>
      <c r="F6" s="16">
        <f>COUNTIF('입력'!$L$5:$L$300,"수정")</f>
        <v/>
      </c>
    </row>
    <row r="7">
      <c r="A7" s="14" t="inlineStr">
        <is>
          <t>분석</t>
        </is>
      </c>
      <c r="B7" s="15" t="inlineStr">
        <is>
          <t>형준 · 분석 작업 · 안전성 경고 · 안내문 · 피드백</t>
        </is>
      </c>
      <c r="C7" s="16">
        <f>SUMPRODUCT(('분석'!$A$5:$A$300&lt;&gt;"")/COUNTIF('분석'!$A$5:$A$300,'분석'!$A$5:$A$300&amp;""))</f>
        <v/>
      </c>
      <c r="D7" s="16">
        <f>COUNTA('분석'!$C$5:$C$300)</f>
        <v/>
      </c>
      <c r="E7" s="16">
        <f>COUNTIF('분석'!$L$5:$L$300,"신규")</f>
        <v/>
      </c>
      <c r="F7" s="16">
        <f>COUNTIF('분석'!$L$5:$L$300,"수정")</f>
        <v/>
      </c>
    </row>
    <row r="8">
      <c r="A8" s="14" t="inlineStr">
        <is>
          <t>챗봇</t>
        </is>
      </c>
      <c r="B8" s="15" t="inlineStr">
        <is>
          <t>수인 · 대화 · 메시지</t>
        </is>
      </c>
      <c r="C8" s="16">
        <f>SUMPRODUCT(('챗봇'!$A$5:$A$300&lt;&gt;"")/COUNTIF('챗봇'!$A$5:$A$300,'챗봇'!$A$5:$A$300&amp;""))</f>
        <v/>
      </c>
      <c r="D8" s="16">
        <f>COUNTA('챗봇'!$C$5:$C$300)</f>
        <v/>
      </c>
      <c r="E8" s="16">
        <f>COUNTIF('챗봇'!$L$5:$L$300,"신규")</f>
        <v/>
      </c>
      <c r="F8" s="16">
        <f>COUNTIF('챗봇'!$L$5:$L$300,"수정")</f>
        <v/>
      </c>
    </row>
    <row r="9">
      <c r="A9" s="14" t="inlineStr">
        <is>
          <t>실천·보상</t>
        </is>
      </c>
      <c r="B9" s="15" t="inlineStr">
        <is>
          <t>성규 · 추천 · 목표 · 기록 · 포인트</t>
        </is>
      </c>
      <c r="C9" s="16">
        <f>SUMPRODUCT(('실천·보상'!$A$5:$A$300&lt;&gt;"")/COUNTIF('실천·보상'!$A$5:$A$300,'실천·보상'!$A$5:$A$300&amp;""))</f>
        <v/>
      </c>
      <c r="D9" s="16">
        <f>COUNTA('실천·보상'!$C$5:$C$300)</f>
        <v/>
      </c>
      <c r="E9" s="16">
        <f>COUNTIF('실천·보상'!$L$5:$L$300,"신규")</f>
        <v/>
      </c>
      <c r="F9" s="16">
        <f>COUNTIF('실천·보상'!$L$5:$L$300,"수정")</f>
        <v/>
      </c>
    </row>
    <row r="10">
      <c r="A10" s="14" t="inlineStr">
        <is>
          <t>마스터</t>
        </is>
      </c>
      <c r="B10" s="15" t="inlineStr">
        <is>
          <t>형준 · 공공데이터 사전 적재 (의약품 · DUR · 중복 · 질병 · 생활습관)</t>
        </is>
      </c>
      <c r="C10" s="16">
        <f>SUMPRODUCT(('마스터'!$A$5:$A$300&lt;&gt;"")/COUNTIF('마스터'!$A$5:$A$300,'마스터'!$A$5:$A$300&amp;""))</f>
        <v/>
      </c>
      <c r="D10" s="16">
        <f>COUNTA('마스터'!$C$5:$C$300)</f>
        <v/>
      </c>
      <c r="E10" s="16">
        <f>COUNTIF('마스터'!$L$5:$L$300,"신규")</f>
        <v/>
      </c>
      <c r="F10" s="16">
        <f>COUNTIF('마스터'!$L$5:$L$300,"수정")</f>
        <v/>
      </c>
    </row>
    <row r="11">
      <c r="A11" s="17" t="inlineStr">
        <is>
          <t>합계</t>
        </is>
      </c>
      <c r="B11" s="17" t="inlineStr"/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11" t="inlineStr">
        <is>
          <t>ERD v1.0 · 사용자</t>
        </is>
      </c>
    </row>
    <row r="2">
      <c r="A2" s="12" t="inlineStr">
        <is>
          <t>형준 · 회원 · 동의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users</t>
        </is>
      </c>
      <c r="B5" s="15" t="inlineStr">
        <is>
          <t>회원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CM-01~07 · A-1~3 · U-1~3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성명 · 주민번호 · 연락처 미수집</t>
        </is>
      </c>
    </row>
    <row r="6">
      <c r="A6" s="20" t="inlineStr">
        <is>
          <t>users</t>
        </is>
      </c>
      <c r="B6" s="21" t="inlineStr">
        <is>
          <t>회원</t>
        </is>
      </c>
      <c r="C6" s="21" t="inlineStr">
        <is>
          <t>login_id</t>
        </is>
      </c>
      <c r="D6" s="21" t="inlineStr">
        <is>
          <t>로그인 ID (이메일)</t>
        </is>
      </c>
      <c r="E6" s="21" t="inlineStr">
        <is>
          <t>varchar(100)</t>
        </is>
      </c>
      <c r="F6" s="22" t="inlineStr">
        <is>
          <t>UQ</t>
        </is>
      </c>
      <c r="G6" s="21" t="inlineStr"/>
      <c r="H6" s="22" t="inlineStr">
        <is>
          <t>Y</t>
        </is>
      </c>
      <c r="I6" s="21" t="inlineStr"/>
      <c r="J6" s="21" t="inlineStr">
        <is>
          <t>이메일</t>
        </is>
      </c>
      <c r="K6" s="21" t="inlineStr">
        <is>
          <t>CM-01~07 · A-1~3 · U-1~3</t>
        </is>
      </c>
      <c r="L6" s="22" t="inlineStr">
        <is>
          <t>수정</t>
        </is>
      </c>
      <c r="M6" s="22" t="inlineStr">
        <is>
          <t>v1.0</t>
        </is>
      </c>
      <c r="N6" s="21" t="inlineStr"/>
    </row>
    <row r="7">
      <c r="A7" s="20" t="inlineStr">
        <is>
          <t>users</t>
        </is>
      </c>
      <c r="B7" s="21" t="inlineStr">
        <is>
          <t>회원</t>
        </is>
      </c>
      <c r="C7" s="21" t="inlineStr">
        <is>
          <t>password_hash</t>
        </is>
      </c>
      <c r="D7" s="21" t="inlineStr">
        <is>
          <t>비밀번호 해시</t>
        </is>
      </c>
      <c r="E7" s="21" t="inlineStr">
        <is>
          <t>varchar(255)</t>
        </is>
      </c>
      <c r="F7" s="22" t="inlineStr"/>
      <c r="G7" s="21" t="inlineStr"/>
      <c r="H7" s="22" t="inlineStr">
        <is>
          <t>Y</t>
        </is>
      </c>
      <c r="I7" s="21" t="inlineStr"/>
      <c r="J7" s="21" t="inlineStr"/>
      <c r="K7" s="21" t="inlineStr">
        <is>
          <t>CM-01~07 · A-1~3 · U-1~3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0" t="inlineStr">
        <is>
          <t>users</t>
        </is>
      </c>
      <c r="B8" s="21" t="inlineStr">
        <is>
          <t>회원</t>
        </is>
      </c>
      <c r="C8" s="21" t="inlineStr">
        <is>
          <t>nickname</t>
        </is>
      </c>
      <c r="D8" s="21" t="inlineStr">
        <is>
          <t>이름 (별명)</t>
        </is>
      </c>
      <c r="E8" s="21" t="inlineStr">
        <is>
          <t>varchar(50)</t>
        </is>
      </c>
      <c r="F8" s="22" t="inlineStr"/>
      <c r="G8" s="21" t="inlineStr"/>
      <c r="H8" s="22" t="inlineStr">
        <is>
          <t>N</t>
        </is>
      </c>
      <c r="I8" s="21" t="inlineStr"/>
      <c r="J8" s="21" t="inlineStr">
        <is>
          <t>선택 입력. 홈 인사말용</t>
        </is>
      </c>
      <c r="K8" s="21" t="inlineStr">
        <is>
          <t>CM-01~07 · A-1~3 · U-1~3</t>
        </is>
      </c>
      <c r="L8" s="22" t="inlineStr">
        <is>
          <t>수정</t>
        </is>
      </c>
      <c r="M8" s="22" t="inlineStr">
        <is>
          <t>v1.0</t>
        </is>
      </c>
      <c r="N8" s="21" t="inlineStr"/>
    </row>
    <row r="9">
      <c r="A9" s="20" t="inlineStr">
        <is>
          <t>users</t>
        </is>
      </c>
      <c r="B9" s="21" t="inlineStr">
        <is>
          <t>회원</t>
        </is>
      </c>
      <c r="C9" s="21" t="inlineStr">
        <is>
          <t>birth_year</t>
        </is>
      </c>
      <c r="D9" s="21" t="inlineStr">
        <is>
          <t>출생연도</t>
        </is>
      </c>
      <c r="E9" s="21" t="inlineStr">
        <is>
          <t>smallint</t>
        </is>
      </c>
      <c r="F9" s="22" t="inlineStr"/>
      <c r="G9" s="21" t="inlineStr"/>
      <c r="H9" s="22" t="inlineStr">
        <is>
          <t>Y</t>
        </is>
      </c>
      <c r="I9" s="21" t="inlineStr"/>
      <c r="J9" s="21" t="inlineStr">
        <is>
          <t>생년월일 대신 출생연도만 (최소 수집) · 노인주의 · 연령금기 판정</t>
        </is>
      </c>
      <c r="K9" s="21" t="inlineStr">
        <is>
          <t>CM-01~07 · A-1~3 · U-1~3</t>
        </is>
      </c>
      <c r="L9" s="22" t="inlineStr">
        <is>
          <t>수정</t>
        </is>
      </c>
      <c r="M9" s="22" t="inlineStr">
        <is>
          <t>v1.0</t>
        </is>
      </c>
      <c r="N9" s="21" t="inlineStr"/>
    </row>
    <row r="10">
      <c r="A10" s="20" t="inlineStr">
        <is>
          <t>users</t>
        </is>
      </c>
      <c r="B10" s="21" t="inlineStr">
        <is>
          <t>회원</t>
        </is>
      </c>
      <c r="C10" s="21" t="inlineStr">
        <is>
          <t>sex</t>
        </is>
      </c>
      <c r="D10" s="21" t="inlineStr">
        <is>
          <t>성별</t>
        </is>
      </c>
      <c r="E10" s="21" t="inlineStr">
        <is>
          <t>varchar(1)</t>
        </is>
      </c>
      <c r="F10" s="22" t="inlineStr"/>
      <c r="G10" s="21" t="inlineStr"/>
      <c r="H10" s="22" t="inlineStr">
        <is>
          <t>Y</t>
        </is>
      </c>
      <c r="I10" s="21" t="inlineStr"/>
      <c r="J10" s="21" t="inlineStr">
        <is>
          <t>M / F</t>
        </is>
      </c>
      <c r="K10" s="21" t="inlineStr">
        <is>
          <t>CM-01~07 · A-1~3 · U-1~3</t>
        </is>
      </c>
      <c r="L10" s="22" t="inlineStr">
        <is>
          <t>수정</t>
        </is>
      </c>
      <c r="M10" s="22" t="inlineStr">
        <is>
          <t>v1.0</t>
        </is>
      </c>
      <c r="N10" s="21" t="inlineStr"/>
    </row>
    <row r="11">
      <c r="A11" s="23" t="inlineStr">
        <is>
          <t>users</t>
        </is>
      </c>
      <c r="B11" s="24" t="inlineStr">
        <is>
          <t>회원</t>
        </is>
      </c>
      <c r="C11" s="24" t="inlineStr">
        <is>
          <t>failed_login_count</t>
        </is>
      </c>
      <c r="D11" s="24" t="inlineStr">
        <is>
          <t>로그인 실패 횟수</t>
        </is>
      </c>
      <c r="E11" s="24" t="inlineStr">
        <is>
          <t>smallint</t>
        </is>
      </c>
      <c r="F11" s="25" t="inlineStr"/>
      <c r="G11" s="24" t="inlineStr"/>
      <c r="H11" s="25" t="inlineStr">
        <is>
          <t>N</t>
        </is>
      </c>
      <c r="I11" s="24" t="inlineStr">
        <is>
          <t>0</t>
        </is>
      </c>
      <c r="J11" s="24" t="inlineStr">
        <is>
          <t>5회 실패 시 잠금 (CM-01-E1)</t>
        </is>
      </c>
      <c r="K11" s="24" t="inlineStr">
        <is>
          <t>CM-01~07 · A-1~3 · U-1~3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users</t>
        </is>
      </c>
      <c r="B12" s="24" t="inlineStr">
        <is>
          <t>회원</t>
        </is>
      </c>
      <c r="C12" s="24" t="inlineStr">
        <is>
          <t>locked_until</t>
        </is>
      </c>
      <c r="D12" s="24" t="inlineStr">
        <is>
          <t>잠금 해제 시각</t>
        </is>
      </c>
      <c r="E12" s="24" t="inlineStr">
        <is>
          <t>timestamp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잠금 해제 시각 (CM-01-E2)</t>
        </is>
      </c>
      <c r="K12" s="24" t="inlineStr">
        <is>
          <t>CM-01~07 · A-1~3 · U-1~3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19" t="inlineStr">
        <is>
          <t>users</t>
        </is>
      </c>
      <c r="B13" s="15" t="inlineStr">
        <is>
          <t>회원</t>
        </is>
      </c>
      <c r="C13" s="15" t="inlineStr">
        <is>
          <t>created_at</t>
        </is>
      </c>
      <c r="D13" s="15" t="inlineStr">
        <is>
          <t>생성 일시</t>
        </is>
      </c>
      <c r="E13" s="15" t="inlineStr">
        <is>
          <t>timestamp</t>
        </is>
      </c>
      <c r="F13" s="16" t="inlineStr"/>
      <c r="G13" s="15" t="inlineStr"/>
      <c r="H13" s="16" t="inlineStr">
        <is>
          <t>N</t>
        </is>
      </c>
      <c r="I13" s="15" t="inlineStr">
        <is>
          <t>now()</t>
        </is>
      </c>
      <c r="J13" s="15" t="inlineStr"/>
      <c r="K13" s="15" t="inlineStr">
        <is>
          <t>CM-01~07 · A-1~3 · U-1~3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23" t="inlineStr">
        <is>
          <t>users</t>
        </is>
      </c>
      <c r="B14" s="24" t="inlineStr">
        <is>
          <t>회원</t>
        </is>
      </c>
      <c r="C14" s="24" t="inlineStr">
        <is>
          <t>updated_at</t>
        </is>
      </c>
      <c r="D14" s="24" t="inlineStr">
        <is>
          <t>수정 일시</t>
        </is>
      </c>
      <c r="E14" s="24" t="inlineStr">
        <is>
          <t>timestamp</t>
        </is>
      </c>
      <c r="F14" s="25" t="inlineStr"/>
      <c r="G14" s="24" t="inlineStr"/>
      <c r="H14" s="25" t="inlineStr">
        <is>
          <t>N</t>
        </is>
      </c>
      <c r="I14" s="24" t="inlineStr"/>
      <c r="J14" s="24" t="inlineStr"/>
      <c r="K14" s="24" t="inlineStr">
        <is>
          <t>CM-01~07 · A-1~3 · U-1~3</t>
        </is>
      </c>
      <c r="L14" s="25" t="inlineStr">
        <is>
          <t>신규</t>
        </is>
      </c>
      <c r="M14" s="25" t="inlineStr">
        <is>
          <t>v1.0</t>
        </is>
      </c>
      <c r="N14" s="24" t="inlineStr"/>
    </row>
    <row r="15">
      <c r="A15" s="20" t="inlineStr">
        <is>
          <t>users</t>
        </is>
      </c>
      <c r="B15" s="21" t="inlineStr">
        <is>
          <t>회원</t>
        </is>
      </c>
      <c r="C15" s="21" t="inlineStr">
        <is>
          <t>deleted_at</t>
        </is>
      </c>
      <c r="D15" s="21" t="inlineStr">
        <is>
          <t>탈퇴 일시</t>
        </is>
      </c>
      <c r="E15" s="21" t="inlineStr">
        <is>
          <t>timestamp</t>
        </is>
      </c>
      <c r="F15" s="22" t="inlineStr"/>
      <c r="G15" s="21" t="inlineStr"/>
      <c r="H15" s="22" t="inlineStr">
        <is>
          <t>N</t>
        </is>
      </c>
      <c r="I15" s="21" t="inlineStr"/>
      <c r="J15" s="21" t="inlineStr">
        <is>
          <t>탈퇴 시 개인정보 파기 후 시각만 남김 (CM-07)</t>
        </is>
      </c>
      <c r="K15" s="21" t="inlineStr">
        <is>
          <t>CM-01~07 · A-1~3 · U-1~3</t>
        </is>
      </c>
      <c r="L15" s="22" t="inlineStr">
        <is>
          <t>수정</t>
        </is>
      </c>
      <c r="M15" s="22" t="inlineStr">
        <is>
          <t>v1.0</t>
        </is>
      </c>
      <c r="N15" s="21" t="inlineStr"/>
    </row>
    <row r="16">
      <c r="A16" s="23" t="inlineStr">
        <is>
          <t>user_consents</t>
        </is>
      </c>
      <c r="B16" s="24" t="inlineStr">
        <is>
          <t>동의 기록</t>
        </is>
      </c>
      <c r="C16" s="24" t="inlineStr">
        <is>
          <t>id</t>
        </is>
      </c>
      <c r="D16" s="24" t="inlineStr">
        <is>
          <t>ID</t>
        </is>
      </c>
      <c r="E16" s="24" t="inlineStr">
        <is>
          <t>bigint</t>
        </is>
      </c>
      <c r="F16" s="25" t="inlineStr">
        <is>
          <t>PK</t>
        </is>
      </c>
      <c r="G16" s="24" t="inlineStr"/>
      <c r="H16" s="25" t="inlineStr">
        <is>
          <t>Y</t>
        </is>
      </c>
      <c r="I16" s="24" t="inlineStr"/>
      <c r="J16" s="24" t="inlineStr"/>
      <c r="K16" s="24" t="inlineStr">
        <is>
          <t>CM-02 · CM-05 · A-1 · U-4 · U-5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v1.0 신규 · CM-02 가입 동의, CM-05 동의 내역</t>
        </is>
      </c>
    </row>
    <row r="17">
      <c r="A17" s="23" t="inlineStr">
        <is>
          <t>user_consents</t>
        </is>
      </c>
      <c r="B17" s="24" t="inlineStr">
        <is>
          <t>동의 기록</t>
        </is>
      </c>
      <c r="C17" s="24" t="inlineStr">
        <is>
          <t>user_id</t>
        </is>
      </c>
      <c r="D17" s="24" t="inlineStr">
        <is>
          <t>사용자 ID</t>
        </is>
      </c>
      <c r="E17" s="24" t="inlineStr">
        <is>
          <t>bigint</t>
        </is>
      </c>
      <c r="F17" s="25" t="inlineStr">
        <is>
          <t>FK</t>
        </is>
      </c>
      <c r="G17" s="24" t="inlineStr">
        <is>
          <t>users.id</t>
        </is>
      </c>
      <c r="H17" s="25" t="inlineStr">
        <is>
          <t>Y</t>
        </is>
      </c>
      <c r="I17" s="24" t="inlineStr"/>
      <c r="J17" s="24" t="inlineStr"/>
      <c r="K17" s="24" t="inlineStr">
        <is>
          <t>CM-02 · CM-05 · A-1 · U-4 · U-5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user_consents</t>
        </is>
      </c>
      <c r="B18" s="24" t="inlineStr">
        <is>
          <t>동의 기록</t>
        </is>
      </c>
      <c r="C18" s="24" t="inlineStr">
        <is>
          <t>consent_type</t>
        </is>
      </c>
      <c r="D18" s="24" t="inlineStr">
        <is>
          <t>동의 종류</t>
        </is>
      </c>
      <c r="E18" s="24" t="inlineStr">
        <is>
          <t>varchar(30)</t>
        </is>
      </c>
      <c r="F18" s="25" t="inlineStr"/>
      <c r="G18" s="24" t="inlineStr"/>
      <c r="H18" s="25" t="inlineStr">
        <is>
          <t>Y</t>
        </is>
      </c>
      <c r="I18" s="24" t="inlineStr"/>
      <c r="J18" s="24" t="inlineStr">
        <is>
          <t>terms / privacy / sensitive_health</t>
        </is>
      </c>
      <c r="K18" s="24" t="inlineStr">
        <is>
          <t>CM-02 · CM-05 · A-1 · U-4 · U-5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user_consents</t>
        </is>
      </c>
      <c r="B19" s="24" t="inlineStr">
        <is>
          <t>동의 기록</t>
        </is>
      </c>
      <c r="C19" s="24" t="inlineStr">
        <is>
          <t>agreed</t>
        </is>
      </c>
      <c r="D19" s="24" t="inlineStr">
        <is>
          <t>동의 여부</t>
        </is>
      </c>
      <c r="E19" s="24" t="inlineStr">
        <is>
          <t>boolean</t>
        </is>
      </c>
      <c r="F19" s="25" t="inlineStr"/>
      <c r="G19" s="24" t="inlineStr"/>
      <c r="H19" s="25" t="inlineStr">
        <is>
          <t>Y</t>
        </is>
      </c>
      <c r="I19" s="24" t="inlineStr"/>
      <c r="J19" s="24" t="inlineStr"/>
      <c r="K19" s="24" t="inlineStr">
        <is>
          <t>CM-02 · CM-05 · A-1 · U-4 · U-5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user_consents</t>
        </is>
      </c>
      <c r="B20" s="24" t="inlineStr">
        <is>
          <t>동의 기록</t>
        </is>
      </c>
      <c r="C20" s="24" t="inlineStr">
        <is>
          <t>agreed_at</t>
        </is>
      </c>
      <c r="D20" s="24" t="inlineStr">
        <is>
          <t>동의 일시</t>
        </is>
      </c>
      <c r="E20" s="24" t="inlineStr">
        <is>
          <t>timestamp</t>
        </is>
      </c>
      <c r="F20" s="25" t="inlineStr"/>
      <c r="G20" s="24" t="inlineStr"/>
      <c r="H20" s="25" t="inlineStr">
        <is>
          <t>N</t>
        </is>
      </c>
      <c r="I20" s="24" t="inlineStr"/>
      <c r="J20" s="24" t="inlineStr"/>
      <c r="K20" s="24" t="inlineStr">
        <is>
          <t>CM-02 · CM-05 · A-1 · U-4 · U-5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user_consents</t>
        </is>
      </c>
      <c r="B21" s="24" t="inlineStr">
        <is>
          <t>동의 기록</t>
        </is>
      </c>
      <c r="C21" s="24" t="inlineStr">
        <is>
          <t>withdrawn_at</t>
        </is>
      </c>
      <c r="D21" s="24" t="inlineStr">
        <is>
          <t>철회 일시</t>
        </is>
      </c>
      <c r="E21" s="24" t="inlineStr">
        <is>
          <t>timestamp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>
        <is>
          <t>철회 시각. sensitive_health 철회 시 업로드 · 분석 불가 (🟡 기존 기록 처리 팀 결정)</t>
        </is>
      </c>
      <c r="K21" s="24" t="inlineStr">
        <is>
          <t>CM-02 · CM-05 · A-1 · U-4 · U-5</t>
        </is>
      </c>
      <c r="L21" s="25" t="inlineStr">
        <is>
          <t>신규</t>
        </is>
      </c>
      <c r="M21" s="25" t="inlineStr">
        <is>
          <t>v1.0</t>
        </is>
      </c>
      <c r="N21" s="24" t="inlineStr">
        <is>
          <t>인덱스: (user_id, consent_type) [unique]</t>
        </is>
      </c>
    </row>
  </sheetData>
  <autoFilter ref="A4:N21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11" t="inlineStr">
        <is>
          <t>ERD v1.0 · 입력</t>
        </is>
      </c>
    </row>
    <row r="2">
      <c r="A2" s="12" t="inlineStr">
        <is>
          <t>채연 · 처방전 · 약봉투 · OCR · 약품 매칭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prescriptions</t>
        </is>
      </c>
      <c r="B5" s="15" t="inlineStr">
        <is>
          <t>처방전 · 약봉투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OC-01 · OC-02 · O-1 · O-2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사진 1장 = 1행. 업로드된 원본 이미지는 OCR 처리 후 즉시 폐기</t>
        </is>
      </c>
    </row>
    <row r="6">
      <c r="A6" s="19" t="inlineStr">
        <is>
          <t>prescriptions</t>
        </is>
      </c>
      <c r="B6" s="15" t="inlineStr">
        <is>
          <t>처방전 · 약봉투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inlineStr"/>
      <c r="J6" s="15" t="inlineStr"/>
      <c r="K6" s="15" t="inlineStr">
        <is>
          <t>OC-01 · OC-02 · O-1 · O-2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23" t="inlineStr">
        <is>
          <t>prescriptions</t>
        </is>
      </c>
      <c r="B7" s="24" t="inlineStr">
        <is>
          <t>처방전 · 약봉투</t>
        </is>
      </c>
      <c r="C7" s="24" t="inlineStr">
        <is>
          <t>doc_type</t>
        </is>
      </c>
      <c r="D7" s="24" t="inlineStr">
        <is>
          <t>문서 종류</t>
        </is>
      </c>
      <c r="E7" s="24" t="inlineStr">
        <is>
          <t>varchar(20)</t>
        </is>
      </c>
      <c r="F7" s="25" t="inlineStr"/>
      <c r="G7" s="24" t="inlineStr"/>
      <c r="H7" s="25" t="inlineStr">
        <is>
          <t>Y</t>
        </is>
      </c>
      <c r="I7" s="24" t="inlineStr"/>
      <c r="J7" s="24" t="inlineStr">
        <is>
          <t>prescription(처방전) / pill_bag(약봉투). 약봉투는 질병코드 없음 → RG-05-E1</t>
        </is>
      </c>
      <c r="K7" s="24" t="inlineStr">
        <is>
          <t>OC-01 · OC-02 · O-1 · O-2</t>
        </is>
      </c>
      <c r="L7" s="25" t="inlineStr">
        <is>
          <t>신규</t>
        </is>
      </c>
      <c r="M7" s="25" t="inlineStr">
        <is>
          <t>v1.0</t>
        </is>
      </c>
      <c r="N7" s="24" t="inlineStr"/>
    </row>
    <row r="8">
      <c r="A8" s="19" t="inlineStr">
        <is>
          <t>prescriptions</t>
        </is>
      </c>
      <c r="B8" s="15" t="inlineStr">
        <is>
          <t>처방전 · 약봉투</t>
        </is>
      </c>
      <c r="C8" s="15" t="inlineStr">
        <is>
          <t>issued_date</t>
        </is>
      </c>
      <c r="D8" s="15" t="inlineStr">
        <is>
          <t>처방 교부일</t>
        </is>
      </c>
      <c r="E8" s="15" t="inlineStr">
        <is>
          <t>date</t>
        </is>
      </c>
      <c r="F8" s="16" t="inlineStr"/>
      <c r="G8" s="15" t="inlineStr"/>
      <c r="H8" s="16" t="inlineStr">
        <is>
          <t>N</t>
        </is>
      </c>
      <c r="I8" s="15" t="inlineStr"/>
      <c r="J8" s="15" t="inlineStr">
        <is>
          <t>처방 교부일</t>
        </is>
      </c>
      <c r="K8" s="15" t="inlineStr">
        <is>
          <t>OC-01 · OC-02 · O-1 · O-2</t>
        </is>
      </c>
      <c r="L8" s="16" t="inlineStr">
        <is>
          <t>기존</t>
        </is>
      </c>
      <c r="M8" s="16" t="inlineStr">
        <is>
          <t>v0.1</t>
        </is>
      </c>
      <c r="N8" s="15" t="inlineStr"/>
    </row>
    <row r="9">
      <c r="A9" s="19" t="inlineStr">
        <is>
          <t>prescriptions</t>
        </is>
      </c>
      <c r="B9" s="15" t="inlineStr">
        <is>
          <t>처방전 · 약봉투</t>
        </is>
      </c>
      <c r="C9" s="15" t="inlineStr">
        <is>
          <t>hospital_name</t>
        </is>
      </c>
      <c r="D9" s="15" t="inlineStr">
        <is>
          <t>병원 이름</t>
        </is>
      </c>
      <c r="E9" s="15" t="inlineStr">
        <is>
          <t>varchar(200)</t>
        </is>
      </c>
      <c r="F9" s="16" t="inlineStr"/>
      <c r="G9" s="15" t="inlineStr"/>
      <c r="H9" s="16" t="inlineStr">
        <is>
          <t>N</t>
        </is>
      </c>
      <c r="I9" s="15" t="inlineStr"/>
      <c r="J9" s="15" t="inlineStr"/>
      <c r="K9" s="15" t="inlineStr">
        <is>
          <t>OC-01 · OC-02 · O-1 · O-2</t>
        </is>
      </c>
      <c r="L9" s="16" t="inlineStr">
        <is>
          <t>기존</t>
        </is>
      </c>
      <c r="M9" s="16" t="inlineStr">
        <is>
          <t>v0.1</t>
        </is>
      </c>
      <c r="N9" s="15" t="inlineStr"/>
    </row>
    <row r="10">
      <c r="A10" s="20" t="inlineStr">
        <is>
          <t>prescriptions</t>
        </is>
      </c>
      <c r="B10" s="21" t="inlineStr">
        <is>
          <t>처방전 · 약봉투</t>
        </is>
      </c>
      <c r="C10" s="21" t="inlineStr">
        <is>
          <t>ocr_raw_text</t>
        </is>
      </c>
      <c r="D10" s="21" t="inlineStr">
        <is>
          <t>OCR 원문</t>
        </is>
      </c>
      <c r="E10" s="21" t="inlineStr">
        <is>
          <t>text</t>
        </is>
      </c>
      <c r="F10" s="22" t="inlineStr"/>
      <c r="G10" s="21" t="inlineStr"/>
      <c r="H10" s="22" t="inlineStr">
        <is>
          <t>N</t>
        </is>
      </c>
      <c r="I10" s="21" t="inlineStr"/>
      <c r="J10" s="21" t="inlineStr">
        <is>
          <t>OCR 원문 (원본 이미지는 저장하지 않음) · 암호화</t>
        </is>
      </c>
      <c r="K10" s="21" t="inlineStr">
        <is>
          <t>OC-01 · OC-02 · O-1 · O-2</t>
        </is>
      </c>
      <c r="L10" s="22" t="inlineStr">
        <is>
          <t>수정</t>
        </is>
      </c>
      <c r="M10" s="22" t="inlineStr">
        <is>
          <t>v1.0</t>
        </is>
      </c>
      <c r="N10" s="21" t="inlineStr"/>
    </row>
    <row r="11">
      <c r="A11" s="19" t="inlineStr">
        <is>
          <t>prescriptions</t>
        </is>
      </c>
      <c r="B11" s="15" t="inlineStr">
        <is>
          <t>처방전 · 약봉투</t>
        </is>
      </c>
      <c r="C11" s="15" t="inlineStr">
        <is>
          <t>ocr_confidence</t>
        </is>
      </c>
      <c r="D11" s="15" t="inlineStr">
        <is>
          <t>OCR 신뢰도</t>
        </is>
      </c>
      <c r="E11" s="15" t="inlineStr">
        <is>
          <t>decimal(5,4)</t>
        </is>
      </c>
      <c r="F11" s="16" t="inlineStr"/>
      <c r="G11" s="15" t="inlineStr"/>
      <c r="H11" s="16" t="inlineStr">
        <is>
          <t>N</t>
        </is>
      </c>
      <c r="I11" s="15" t="inlineStr"/>
      <c r="J11" s="15" t="inlineStr"/>
      <c r="K11" s="15" t="inlineStr">
        <is>
          <t>OC-01 · OC-02 · O-1 · O-2</t>
        </is>
      </c>
      <c r="L11" s="16" t="inlineStr">
        <is>
          <t>기존</t>
        </is>
      </c>
      <c r="M11" s="16" t="inlineStr">
        <is>
          <t>v0.1</t>
        </is>
      </c>
      <c r="N11" s="15" t="inlineStr"/>
    </row>
    <row r="12">
      <c r="A12" s="23" t="inlineStr">
        <is>
          <t>prescriptions</t>
        </is>
      </c>
      <c r="B12" s="24" t="inlineStr">
        <is>
          <t>처방전 · 약봉투</t>
        </is>
      </c>
      <c r="C12" s="24" t="inlineStr">
        <is>
          <t>quality_flag</t>
        </is>
      </c>
      <c r="D12" s="24" t="inlineStr">
        <is>
          <t>사진 품질 표시</t>
        </is>
      </c>
      <c r="E12" s="24" t="inlineStr">
        <is>
          <t>varchar(20)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ok / low (OC-01-E1에서 "그래도 계속 진행" 시)</t>
        </is>
      </c>
      <c r="K12" s="24" t="inlineStr">
        <is>
          <t>OC-01 · OC-02 · O-1 · O-2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19" t="inlineStr">
        <is>
          <t>prescriptions</t>
        </is>
      </c>
      <c r="B13" s="15" t="inlineStr">
        <is>
          <t>처방전 · 약봉투</t>
        </is>
      </c>
      <c r="C13" s="15" t="inlineStr">
        <is>
          <t>created_at</t>
        </is>
      </c>
      <c r="D13" s="15" t="inlineStr">
        <is>
          <t>생성 일시</t>
        </is>
      </c>
      <c r="E13" s="15" t="inlineStr">
        <is>
          <t>timestamp</t>
        </is>
      </c>
      <c r="F13" s="16" t="inlineStr"/>
      <c r="G13" s="15" t="inlineStr"/>
      <c r="H13" s="16" t="inlineStr">
        <is>
          <t>N</t>
        </is>
      </c>
      <c r="I13" s="15" t="inlineStr">
        <is>
          <t>now()</t>
        </is>
      </c>
      <c r="J13" s="15" t="inlineStr"/>
      <c r="K13" s="15" t="inlineStr">
        <is>
          <t>OC-01 · OC-02 · O-1 · O-2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23" t="inlineStr">
        <is>
          <t>prescription_diseases</t>
        </is>
      </c>
      <c r="B14" s="24" t="inlineStr">
        <is>
          <t>처방전 질병코드</t>
        </is>
      </c>
      <c r="C14" s="24" t="inlineStr">
        <is>
          <t>prescription_id</t>
        </is>
      </c>
      <c r="D14" s="24" t="inlineStr">
        <is>
          <t>처방전 ID</t>
        </is>
      </c>
      <c r="E14" s="24" t="inlineStr">
        <is>
          <t>bigint</t>
        </is>
      </c>
      <c r="F14" s="25" t="inlineStr">
        <is>
          <t>PK · FK</t>
        </is>
      </c>
      <c r="G14" s="24" t="inlineStr">
        <is>
          <t>prescriptions.id</t>
        </is>
      </c>
      <c r="H14" s="25" t="inlineStr">
        <is>
          <t>Y</t>
        </is>
      </c>
      <c r="I14" s="24" t="inlineStr"/>
      <c r="J14" s="24" t="inlineStr"/>
      <c r="K14" s="24" t="inlineStr">
        <is>
          <t>O-2 · R-4</t>
        </is>
      </c>
      <c r="L14" s="25" t="inlineStr">
        <is>
          <t>신규</t>
        </is>
      </c>
      <c r="M14" s="25" t="inlineStr">
        <is>
          <t>v1.0</t>
        </is>
      </c>
      <c r="N14" s="24" t="inlineStr">
        <is>
          <t>v1.0 신규 · 처방전 질병분류기호는 주상병 + 부상병 여러 개</t>
        </is>
      </c>
    </row>
    <row r="15">
      <c r="A15" s="23" t="inlineStr">
        <is>
          <t>prescription_diseases</t>
        </is>
      </c>
      <c r="B15" s="24" t="inlineStr">
        <is>
          <t>처방전 질병코드</t>
        </is>
      </c>
      <c r="C15" s="24" t="inlineStr">
        <is>
          <t>disease_code</t>
        </is>
      </c>
      <c r="D15" s="24" t="inlineStr">
        <is>
          <t>상병 코드</t>
        </is>
      </c>
      <c r="E15" s="24" t="inlineStr">
        <is>
          <t>varchar(10)</t>
        </is>
      </c>
      <c r="F15" s="25" t="inlineStr">
        <is>
          <t>PK · FK</t>
        </is>
      </c>
      <c r="G15" s="24" t="inlineStr">
        <is>
          <t>diseases.code</t>
        </is>
      </c>
      <c r="H15" s="25" t="inlineStr">
        <is>
          <t>Y</t>
        </is>
      </c>
      <c r="I15" s="24" t="inlineStr"/>
      <c r="J15" s="24" t="inlineStr"/>
      <c r="K15" s="24" t="inlineStr">
        <is>
          <t>O-2 · R-4</t>
        </is>
      </c>
      <c r="L15" s="25" t="inlineStr">
        <is>
          <t>신규</t>
        </is>
      </c>
      <c r="M15" s="25" t="inlineStr">
        <is>
          <t>v1.0</t>
        </is>
      </c>
      <c r="N15" s="24" t="inlineStr"/>
    </row>
    <row r="16">
      <c r="A16" s="23" t="inlineStr">
        <is>
          <t>prescription_diseases</t>
        </is>
      </c>
      <c r="B16" s="24" t="inlineStr">
        <is>
          <t>처방전 질병코드</t>
        </is>
      </c>
      <c r="C16" s="24" t="inlineStr">
        <is>
          <t>is_main</t>
        </is>
      </c>
      <c r="D16" s="24" t="inlineStr">
        <is>
          <t>주상병 여부</t>
        </is>
      </c>
      <c r="E16" s="24" t="inlineStr">
        <is>
          <t>boolean</t>
        </is>
      </c>
      <c r="F16" s="25" t="inlineStr"/>
      <c r="G16" s="24" t="inlineStr"/>
      <c r="H16" s="25" t="inlineStr">
        <is>
          <t>N</t>
        </is>
      </c>
      <c r="I16" s="24" t="inlineStr"/>
      <c r="J16" s="24" t="inlineStr">
        <is>
          <t>주상병 여부</t>
        </is>
      </c>
      <c r="K16" s="24" t="inlineStr">
        <is>
          <t>O-2 · R-4</t>
        </is>
      </c>
      <c r="L16" s="25" t="inlineStr">
        <is>
          <t>신규</t>
        </is>
      </c>
      <c r="M16" s="25" t="inlineStr">
        <is>
          <t>v1.0</t>
        </is>
      </c>
      <c r="N16" s="24" t="inlineStr"/>
    </row>
    <row r="17">
      <c r="A17" s="19" t="inlineStr">
        <is>
          <t>prescription_items</t>
        </is>
      </c>
      <c r="B17" s="15" t="inlineStr">
        <is>
          <t>처방 약품</t>
        </is>
      </c>
      <c r="C17" s="15" t="inlineStr">
        <is>
          <t>id</t>
        </is>
      </c>
      <c r="D17" s="15" t="inlineStr">
        <is>
          <t>ID</t>
        </is>
      </c>
      <c r="E17" s="15" t="inlineStr">
        <is>
          <t>bigint</t>
        </is>
      </c>
      <c r="F17" s="16" t="inlineStr">
        <is>
          <t>PK</t>
        </is>
      </c>
      <c r="G17" s="15" t="inlineStr"/>
      <c r="H17" s="16" t="inlineStr">
        <is>
          <t>Y</t>
        </is>
      </c>
      <c r="I17" s="15" t="inlineStr"/>
      <c r="J17" s="15" t="inlineStr"/>
      <c r="K17" s="15" t="inlineStr">
        <is>
          <t>OC-02 · O-2 · O-3</t>
        </is>
      </c>
      <c r="L17" s="16" t="inlineStr">
        <is>
          <t>기존</t>
        </is>
      </c>
      <c r="M17" s="16" t="inlineStr">
        <is>
          <t>v0.1</t>
        </is>
      </c>
      <c r="N17" s="15" t="inlineStr">
        <is>
          <t>needs_confirm · unmatched가 남아 있으면 분석 시작 불가 (REQ-033). 1일 총량 = dose_per_time * times_per_day</t>
        </is>
      </c>
    </row>
    <row r="18">
      <c r="A18" s="19" t="inlineStr">
        <is>
          <t>prescription_items</t>
        </is>
      </c>
      <c r="B18" s="15" t="inlineStr">
        <is>
          <t>처방 약품</t>
        </is>
      </c>
      <c r="C18" s="15" t="inlineStr">
        <is>
          <t>prescription_id</t>
        </is>
      </c>
      <c r="D18" s="15" t="inlineStr">
        <is>
          <t>처방전 ID</t>
        </is>
      </c>
      <c r="E18" s="15" t="inlineStr">
        <is>
          <t>bigint</t>
        </is>
      </c>
      <c r="F18" s="16" t="inlineStr">
        <is>
          <t>FK</t>
        </is>
      </c>
      <c r="G18" s="15" t="inlineStr">
        <is>
          <t>prescriptions.id</t>
        </is>
      </c>
      <c r="H18" s="16" t="inlineStr">
        <is>
          <t>Y</t>
        </is>
      </c>
      <c r="I18" s="15" t="inlineStr"/>
      <c r="J18" s="15" t="inlineStr"/>
      <c r="K18" s="15" t="inlineStr">
        <is>
          <t>OC-02 · O-2 · O-3</t>
        </is>
      </c>
      <c r="L18" s="16" t="inlineStr">
        <is>
          <t>기존</t>
        </is>
      </c>
      <c r="M18" s="16" t="inlineStr">
        <is>
          <t>v0.1</t>
        </is>
      </c>
      <c r="N18" s="15" t="inlineStr"/>
    </row>
    <row r="19">
      <c r="A19" s="20" t="inlineStr">
        <is>
          <t>prescription_items</t>
        </is>
      </c>
      <c r="B19" s="21" t="inlineStr">
        <is>
          <t>처방 약품</t>
        </is>
      </c>
      <c r="C19" s="21" t="inlineStr">
        <is>
          <t>edi_code</t>
        </is>
      </c>
      <c r="D19" s="21" t="inlineStr">
        <is>
          <t>EDI 제품코드</t>
        </is>
      </c>
      <c r="E19" s="21" t="inlineStr">
        <is>
          <t>varchar(9)</t>
        </is>
      </c>
      <c r="F19" s="22" t="inlineStr">
        <is>
          <t>FK</t>
        </is>
      </c>
      <c r="G19" s="21" t="inlineStr">
        <is>
          <t>drug_products.edi_code</t>
        </is>
      </c>
      <c r="H19" s="22" t="inlineStr">
        <is>
          <t>N</t>
        </is>
      </c>
      <c r="I19" s="21" t="inlineStr"/>
      <c r="J19" s="21" t="inlineStr">
        <is>
          <t>매칭 실패 · 제외 시 null</t>
        </is>
      </c>
      <c r="K19" s="21" t="inlineStr">
        <is>
          <t>OC-02 · O-2 · O-3</t>
        </is>
      </c>
      <c r="L19" s="22" t="inlineStr">
        <is>
          <t>수정</t>
        </is>
      </c>
      <c r="M19" s="22" t="inlineStr">
        <is>
          <t>v1.0</t>
        </is>
      </c>
      <c r="N19" s="21" t="inlineStr"/>
    </row>
    <row r="20">
      <c r="A20" s="19" t="inlineStr">
        <is>
          <t>prescription_items</t>
        </is>
      </c>
      <c r="B20" s="15" t="inlineStr">
        <is>
          <t>처방 약품</t>
        </is>
      </c>
      <c r="C20" s="15" t="inlineStr">
        <is>
          <t>raw_name</t>
        </is>
      </c>
      <c r="D20" s="15" t="inlineStr">
        <is>
          <t>인식된 약품명</t>
        </is>
      </c>
      <c r="E20" s="15" t="inlineStr">
        <is>
          <t>varchar(300)</t>
        </is>
      </c>
      <c r="F20" s="16" t="inlineStr"/>
      <c r="G20" s="15" t="inlineStr"/>
      <c r="H20" s="16" t="inlineStr">
        <is>
          <t>Y</t>
        </is>
      </c>
      <c r="I20" s="15" t="inlineStr"/>
      <c r="J20" s="15" t="inlineStr">
        <is>
          <t>OCR이 읽은 원문 약품명</t>
        </is>
      </c>
      <c r="K20" s="15" t="inlineStr">
        <is>
          <t>OC-02 · O-2 · O-3</t>
        </is>
      </c>
      <c r="L20" s="16" t="inlineStr">
        <is>
          <t>기존</t>
        </is>
      </c>
      <c r="M20" s="16" t="inlineStr">
        <is>
          <t>v0.1</t>
        </is>
      </c>
      <c r="N20" s="15" t="inlineStr"/>
    </row>
    <row r="21">
      <c r="A21" s="20" t="inlineStr">
        <is>
          <t>prescription_items</t>
        </is>
      </c>
      <c r="B21" s="21" t="inlineStr">
        <is>
          <t>처방 약품</t>
        </is>
      </c>
      <c r="C21" s="21" t="inlineStr">
        <is>
          <t>match_score</t>
        </is>
      </c>
      <c r="D21" s="21" t="inlineStr">
        <is>
          <t>매칭 점수</t>
        </is>
      </c>
      <c r="E21" s="21" t="inlineStr">
        <is>
          <t>decimal(5,4)</t>
        </is>
      </c>
      <c r="F21" s="22" t="inlineStr"/>
      <c r="G21" s="21" t="inlineStr"/>
      <c r="H21" s="22" t="inlineStr">
        <is>
          <t>N</t>
        </is>
      </c>
      <c r="I21" s="21" t="inlineStr"/>
      <c r="J21" s="21" t="inlineStr"/>
      <c r="K21" s="21" t="inlineStr">
        <is>
          <t>OC-02 · O-2 · O-3</t>
        </is>
      </c>
      <c r="L21" s="22" t="inlineStr">
        <is>
          <t>수정</t>
        </is>
      </c>
      <c r="M21" s="22" t="inlineStr">
        <is>
          <t>v1.0</t>
        </is>
      </c>
      <c r="N21" s="21" t="inlineStr"/>
    </row>
    <row r="22">
      <c r="A22" s="20" t="inlineStr">
        <is>
          <t>prescription_items</t>
        </is>
      </c>
      <c r="B22" s="21" t="inlineStr">
        <is>
          <t>처방 약품</t>
        </is>
      </c>
      <c r="C22" s="21" t="inlineStr">
        <is>
          <t>match_status</t>
        </is>
      </c>
      <c r="D22" s="21" t="inlineStr">
        <is>
          <t>매칭 상태</t>
        </is>
      </c>
      <c r="E22" s="21" t="inlineStr">
        <is>
          <t>varchar(20)</t>
        </is>
      </c>
      <c r="F22" s="22" t="inlineStr"/>
      <c r="G22" s="21" t="inlineStr"/>
      <c r="H22" s="22" t="inlineStr">
        <is>
          <t>Y</t>
        </is>
      </c>
      <c r="I22" s="21" t="inlineStr"/>
      <c r="J22" s="21" t="inlineStr">
        <is>
          <t>auto / needs_confirm / user_confirmed / unmatched / excluded(빼고 진행)</t>
        </is>
      </c>
      <c r="K22" s="21" t="inlineStr">
        <is>
          <t>OC-02 · O-2 · O-3</t>
        </is>
      </c>
      <c r="L22" s="22" t="inlineStr">
        <is>
          <t>수정</t>
        </is>
      </c>
      <c r="M22" s="22" t="inlineStr">
        <is>
          <t>v1.0</t>
        </is>
      </c>
      <c r="N22" s="21" t="inlineStr"/>
    </row>
    <row r="23">
      <c r="A23" s="20" t="inlineStr">
        <is>
          <t>prescription_items</t>
        </is>
      </c>
      <c r="B23" s="21" t="inlineStr">
        <is>
          <t>처방 약품</t>
        </is>
      </c>
      <c r="C23" s="21" t="inlineStr">
        <is>
          <t>dose_per_time</t>
        </is>
      </c>
      <c r="D23" s="21" t="inlineStr">
        <is>
          <t>1회 투여량</t>
        </is>
      </c>
      <c r="E23" s="21" t="inlineStr">
        <is>
          <t>decimal(10,3)</t>
        </is>
      </c>
      <c r="F23" s="22" t="inlineStr"/>
      <c r="G23" s="21" t="inlineStr"/>
      <c r="H23" s="22" t="inlineStr">
        <is>
          <t>N</t>
        </is>
      </c>
      <c r="I23" s="21" t="inlineStr"/>
      <c r="J23" s="21" t="inlineStr"/>
      <c r="K23" s="21" t="inlineStr">
        <is>
          <t>OC-02 · O-2 · O-3</t>
        </is>
      </c>
      <c r="L23" s="22" t="inlineStr">
        <is>
          <t>수정</t>
        </is>
      </c>
      <c r="M23" s="22" t="inlineStr">
        <is>
          <t>v1.0</t>
        </is>
      </c>
      <c r="N23" s="21" t="inlineStr"/>
    </row>
    <row r="24">
      <c r="A24" s="20" t="inlineStr">
        <is>
          <t>prescription_items</t>
        </is>
      </c>
      <c r="B24" s="21" t="inlineStr">
        <is>
          <t>처방 약품</t>
        </is>
      </c>
      <c r="C24" s="21" t="inlineStr">
        <is>
          <t>times_per_day</t>
        </is>
      </c>
      <c r="D24" s="21" t="inlineStr">
        <is>
          <t>1일 투여 횟수</t>
        </is>
      </c>
      <c r="E24" s="21" t="inlineStr">
        <is>
          <t>smallint</t>
        </is>
      </c>
      <c r="F24" s="22" t="inlineStr"/>
      <c r="G24" s="21" t="inlineStr"/>
      <c r="H24" s="22" t="inlineStr">
        <is>
          <t>N</t>
        </is>
      </c>
      <c r="I24" s="21" t="inlineStr"/>
      <c r="J24" s="21" t="inlineStr"/>
      <c r="K24" s="21" t="inlineStr">
        <is>
          <t>OC-02 · O-2 · O-3</t>
        </is>
      </c>
      <c r="L24" s="22" t="inlineStr">
        <is>
          <t>수정</t>
        </is>
      </c>
      <c r="M24" s="22" t="inlineStr">
        <is>
          <t>v1.0</t>
        </is>
      </c>
      <c r="N24" s="21" t="inlineStr"/>
    </row>
    <row r="25">
      <c r="A25" s="20" t="inlineStr">
        <is>
          <t>prescription_items</t>
        </is>
      </c>
      <c r="B25" s="21" t="inlineStr">
        <is>
          <t>처방 약품</t>
        </is>
      </c>
      <c r="C25" s="21" t="inlineStr">
        <is>
          <t>total_days</t>
        </is>
      </c>
      <c r="D25" s="21" t="inlineStr">
        <is>
          <t>총 투약일수</t>
        </is>
      </c>
      <c r="E25" s="21" t="inlineStr">
        <is>
          <t>smallint</t>
        </is>
      </c>
      <c r="F25" s="22" t="inlineStr"/>
      <c r="G25" s="21" t="inlineStr"/>
      <c r="H25" s="22" t="inlineStr">
        <is>
          <t>N</t>
        </is>
      </c>
      <c r="I25" s="21" t="inlineStr"/>
      <c r="J25" s="21" t="inlineStr"/>
      <c r="K25" s="21" t="inlineStr">
        <is>
          <t>OC-02 · O-2 · O-3</t>
        </is>
      </c>
      <c r="L25" s="22" t="inlineStr">
        <is>
          <t>수정</t>
        </is>
      </c>
      <c r="M25" s="22" t="inlineStr">
        <is>
          <t>v1.0</t>
        </is>
      </c>
      <c r="N25" s="21" t="inlineStr"/>
    </row>
    <row r="26">
      <c r="A26" s="20" t="inlineStr">
        <is>
          <t>prescription_items</t>
        </is>
      </c>
      <c r="B26" s="21" t="inlineStr">
        <is>
          <t>처방 약품</t>
        </is>
      </c>
      <c r="C26" s="21" t="inlineStr">
        <is>
          <t>timing</t>
        </is>
      </c>
      <c r="D26" s="21" t="inlineStr">
        <is>
          <t>복용 시점</t>
        </is>
      </c>
      <c r="E26" s="21" t="inlineStr">
        <is>
          <t>varchar(50)</t>
        </is>
      </c>
      <c r="F26" s="22" t="inlineStr"/>
      <c r="G26" s="21" t="inlineStr"/>
      <c r="H26" s="22" t="inlineStr">
        <is>
          <t>N</t>
        </is>
      </c>
      <c r="I26" s="21" t="inlineStr"/>
      <c r="J26" s="21" t="inlineStr">
        <is>
          <t>아침 식후 등</t>
        </is>
      </c>
      <c r="K26" s="21" t="inlineStr">
        <is>
          <t>OC-02 · O-2 · O-3</t>
        </is>
      </c>
      <c r="L26" s="22" t="inlineStr">
        <is>
          <t>수정</t>
        </is>
      </c>
      <c r="M26" s="22" t="inlineStr">
        <is>
          <t>v1.0</t>
        </is>
      </c>
      <c r="N26" s="21" t="inlineStr"/>
    </row>
    <row r="27">
      <c r="A27" s="23" t="inlineStr">
        <is>
          <t>prescription_item_candidates</t>
        </is>
      </c>
      <c r="B27" s="24" t="inlineStr">
        <is>
          <t>약품 매칭 후보</t>
        </is>
      </c>
      <c r="C27" s="24" t="inlineStr">
        <is>
          <t>item_id</t>
        </is>
      </c>
      <c r="D27" s="24" t="inlineStr">
        <is>
          <t>처방 약품 ID</t>
        </is>
      </c>
      <c r="E27" s="24" t="inlineStr">
        <is>
          <t>bigint</t>
        </is>
      </c>
      <c r="F27" s="25" t="inlineStr">
        <is>
          <t>PK · FK</t>
        </is>
      </c>
      <c r="G27" s="24" t="inlineStr">
        <is>
          <t>prescription_items.id</t>
        </is>
      </c>
      <c r="H27" s="25" t="inlineStr">
        <is>
          <t>Y</t>
        </is>
      </c>
      <c r="I27" s="24" t="inlineStr"/>
      <c r="J27" s="24" t="inlineStr"/>
      <c r="K27" s="24" t="inlineStr">
        <is>
          <t>OC-02 · O-3</t>
        </is>
      </c>
      <c r="L27" s="25" t="inlineStr">
        <is>
          <t>신규</t>
        </is>
      </c>
      <c r="M27" s="25" t="inlineStr">
        <is>
          <t>v1.0</t>
        </is>
      </c>
      <c r="N27" s="24" t="inlineStr">
        <is>
          <t>v1.0 신규 🟡 채연 확인 · OC-02 후보 목록. 매칭 정확도(1순위 적중률 · 5순위 내 포함률) 측정에 필요</t>
        </is>
      </c>
    </row>
    <row r="28">
      <c r="A28" s="23" t="inlineStr">
        <is>
          <t>prescription_item_candidates</t>
        </is>
      </c>
      <c r="B28" s="24" t="inlineStr">
        <is>
          <t>약품 매칭 후보</t>
        </is>
      </c>
      <c r="C28" s="24" t="inlineStr">
        <is>
          <t>rank</t>
        </is>
      </c>
      <c r="D28" s="24" t="inlineStr">
        <is>
          <t>순위</t>
        </is>
      </c>
      <c r="E28" s="24" t="inlineStr">
        <is>
          <t>smallint</t>
        </is>
      </c>
      <c r="F28" s="25" t="inlineStr">
        <is>
          <t>PK</t>
        </is>
      </c>
      <c r="G28" s="24" t="inlineStr"/>
      <c r="H28" s="25" t="inlineStr">
        <is>
          <t>Y</t>
        </is>
      </c>
      <c r="I28" s="24" t="inlineStr"/>
      <c r="J28" s="24" t="inlineStr"/>
      <c r="K28" s="24" t="inlineStr">
        <is>
          <t>OC-02 · O-3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3" t="inlineStr">
        <is>
          <t>prescription_item_candidates</t>
        </is>
      </c>
      <c r="B29" s="24" t="inlineStr">
        <is>
          <t>약품 매칭 후보</t>
        </is>
      </c>
      <c r="C29" s="24" t="inlineStr">
        <is>
          <t>edi_code</t>
        </is>
      </c>
      <c r="D29" s="24" t="inlineStr">
        <is>
          <t>EDI 제품코드</t>
        </is>
      </c>
      <c r="E29" s="24" t="inlineStr">
        <is>
          <t>varchar(9)</t>
        </is>
      </c>
      <c r="F29" s="25" t="inlineStr">
        <is>
          <t>FK</t>
        </is>
      </c>
      <c r="G29" s="24" t="inlineStr">
        <is>
          <t>drug_products.edi_code</t>
        </is>
      </c>
      <c r="H29" s="25" t="inlineStr">
        <is>
          <t>N</t>
        </is>
      </c>
      <c r="I29" s="24" t="inlineStr"/>
      <c r="J29" s="24" t="inlineStr"/>
      <c r="K29" s="24" t="inlineStr">
        <is>
          <t>OC-02 · O-3</t>
        </is>
      </c>
      <c r="L29" s="25" t="inlineStr">
        <is>
          <t>신규</t>
        </is>
      </c>
      <c r="M29" s="25" t="inlineStr">
        <is>
          <t>v1.0</t>
        </is>
      </c>
      <c r="N29" s="24" t="inlineStr"/>
    </row>
    <row r="30">
      <c r="A30" s="23" t="inlineStr">
        <is>
          <t>prescription_item_candidates</t>
        </is>
      </c>
      <c r="B30" s="24" t="inlineStr">
        <is>
          <t>약품 매칭 후보</t>
        </is>
      </c>
      <c r="C30" s="24" t="inlineStr">
        <is>
          <t>score</t>
        </is>
      </c>
      <c r="D30" s="24" t="inlineStr">
        <is>
          <t>매칭 점수</t>
        </is>
      </c>
      <c r="E30" s="24" t="inlineStr">
        <is>
          <t>decimal(5,4)</t>
        </is>
      </c>
      <c r="F30" s="25" t="inlineStr"/>
      <c r="G30" s="24" t="inlineStr"/>
      <c r="H30" s="25" t="inlineStr">
        <is>
          <t>N</t>
        </is>
      </c>
      <c r="I30" s="24" t="inlineStr"/>
      <c r="J30" s="24" t="inlineStr"/>
      <c r="K30" s="24" t="inlineStr">
        <is>
          <t>OC-02 · O-3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19" t="inlineStr">
        <is>
          <t>health_checkups</t>
        </is>
      </c>
      <c r="B31" s="15" t="inlineStr">
        <is>
          <t>건강검진 (보류)</t>
        </is>
      </c>
      <c r="C31" s="15" t="inlineStr">
        <is>
          <t>id</t>
        </is>
      </c>
      <c r="D31" s="15" t="inlineStr">
        <is>
          <t>ID</t>
        </is>
      </c>
      <c r="E31" s="15" t="inlineStr">
        <is>
          <t>bigint</t>
        </is>
      </c>
      <c r="F31" s="16" t="inlineStr">
        <is>
          <t>PK</t>
        </is>
      </c>
      <c r="G31" s="15" t="inlineStr"/>
      <c r="H31" s="16" t="inlineStr">
        <is>
          <t>Y</t>
        </is>
      </c>
      <c r="I31" s="15" t="inlineStr"/>
      <c r="J31" s="15" t="inlineStr"/>
      <c r="K31" s="15" t="inlineStr">
        <is>
          <t>REQ-015</t>
        </is>
      </c>
      <c r="L31" s="16" t="inlineStr">
        <is>
          <t>기존</t>
        </is>
      </c>
      <c r="M31" s="16" t="inlineStr">
        <is>
          <t>v0.1</t>
        </is>
      </c>
      <c r="N31" s="15" t="inlineStr">
        <is>
          <t>보류 (REQ-015 · 멘토링 확인 후 결정)</t>
        </is>
      </c>
    </row>
    <row r="32">
      <c r="A32" s="19" t="inlineStr">
        <is>
          <t>health_checkups</t>
        </is>
      </c>
      <c r="B32" s="15" t="inlineStr">
        <is>
          <t>건강검진 (보류)</t>
        </is>
      </c>
      <c r="C32" s="15" t="inlineStr">
        <is>
          <t>user_id</t>
        </is>
      </c>
      <c r="D32" s="15" t="inlineStr">
        <is>
          <t>사용자 ID</t>
        </is>
      </c>
      <c r="E32" s="15" t="inlineStr">
        <is>
          <t>bigint</t>
        </is>
      </c>
      <c r="F32" s="16" t="inlineStr">
        <is>
          <t>FK</t>
        </is>
      </c>
      <c r="G32" s="15" t="inlineStr">
        <is>
          <t>users.id</t>
        </is>
      </c>
      <c r="H32" s="16" t="inlineStr">
        <is>
          <t>Y</t>
        </is>
      </c>
      <c r="I32" s="15" t="inlineStr"/>
      <c r="J32" s="15" t="inlineStr"/>
      <c r="K32" s="15" t="inlineStr">
        <is>
          <t>REQ-015</t>
        </is>
      </c>
      <c r="L32" s="16" t="inlineStr">
        <is>
          <t>기존</t>
        </is>
      </c>
      <c r="M32" s="16" t="inlineStr">
        <is>
          <t>v0.1</t>
        </is>
      </c>
      <c r="N32" s="15" t="inlineStr"/>
    </row>
    <row r="33">
      <c r="A33" s="19" t="inlineStr">
        <is>
          <t>health_checkups</t>
        </is>
      </c>
      <c r="B33" s="15" t="inlineStr">
        <is>
          <t>건강검진 (보류)</t>
        </is>
      </c>
      <c r="C33" s="15" t="inlineStr">
        <is>
          <t>checkup_date</t>
        </is>
      </c>
      <c r="D33" s="15" t="inlineStr">
        <is>
          <t>검진일</t>
        </is>
      </c>
      <c r="E33" s="15" t="inlineStr">
        <is>
          <t>date</t>
        </is>
      </c>
      <c r="F33" s="16" t="inlineStr"/>
      <c r="G33" s="15" t="inlineStr"/>
      <c r="H33" s="16" t="inlineStr">
        <is>
          <t>N</t>
        </is>
      </c>
      <c r="I33" s="15" t="inlineStr"/>
      <c r="J33" s="15" t="inlineStr"/>
      <c r="K33" s="15" t="inlineStr">
        <is>
          <t>REQ-015</t>
        </is>
      </c>
      <c r="L33" s="16" t="inlineStr">
        <is>
          <t>기존</t>
        </is>
      </c>
      <c r="M33" s="16" t="inlineStr">
        <is>
          <t>v0.1</t>
        </is>
      </c>
      <c r="N33" s="15" t="inlineStr"/>
    </row>
    <row r="34">
      <c r="A34" s="19" t="inlineStr">
        <is>
          <t>health_checkups</t>
        </is>
      </c>
      <c r="B34" s="15" t="inlineStr">
        <is>
          <t>건강검진 (보류)</t>
        </is>
      </c>
      <c r="C34" s="15" t="inlineStr">
        <is>
          <t>ocr_raw_text</t>
        </is>
      </c>
      <c r="D34" s="15" t="inlineStr">
        <is>
          <t>OCR 원문</t>
        </is>
      </c>
      <c r="E34" s="15" t="inlineStr">
        <is>
          <t>text</t>
        </is>
      </c>
      <c r="F34" s="16" t="inlineStr"/>
      <c r="G34" s="15" t="inlineStr"/>
      <c r="H34" s="16" t="inlineStr">
        <is>
          <t>N</t>
        </is>
      </c>
      <c r="I34" s="15" t="inlineStr"/>
      <c r="J34" s="15" t="inlineStr"/>
      <c r="K34" s="15" t="inlineStr">
        <is>
          <t>REQ-015</t>
        </is>
      </c>
      <c r="L34" s="16" t="inlineStr">
        <is>
          <t>기존</t>
        </is>
      </c>
      <c r="M34" s="16" t="inlineStr">
        <is>
          <t>v0.1</t>
        </is>
      </c>
      <c r="N34" s="15" t="inlineStr"/>
    </row>
    <row r="35">
      <c r="A35" s="19" t="inlineStr">
        <is>
          <t>health_checkups</t>
        </is>
      </c>
      <c r="B35" s="15" t="inlineStr">
        <is>
          <t>건강검진 (보류)</t>
        </is>
      </c>
      <c r="C35" s="15" t="inlineStr">
        <is>
          <t>created_at</t>
        </is>
      </c>
      <c r="D35" s="15" t="inlineStr">
        <is>
          <t>생성 일시</t>
        </is>
      </c>
      <c r="E35" s="15" t="inlineStr">
        <is>
          <t>timestamp</t>
        </is>
      </c>
      <c r="F35" s="16" t="inlineStr"/>
      <c r="G35" s="15" t="inlineStr"/>
      <c r="H35" s="16" t="inlineStr">
        <is>
          <t>N</t>
        </is>
      </c>
      <c r="I35" s="15" t="inlineStr">
        <is>
          <t>now()</t>
        </is>
      </c>
      <c r="J35" s="15" t="inlineStr"/>
      <c r="K35" s="15" t="inlineStr">
        <is>
          <t>REQ-015</t>
        </is>
      </c>
      <c r="L35" s="16" t="inlineStr">
        <is>
          <t>기존</t>
        </is>
      </c>
      <c r="M35" s="16" t="inlineStr">
        <is>
          <t>v0.1</t>
        </is>
      </c>
      <c r="N35" s="15" t="inlineStr"/>
    </row>
    <row r="36">
      <c r="A36" s="19" t="inlineStr">
        <is>
          <t>checkup_results</t>
        </is>
      </c>
      <c r="B36" s="15" t="inlineStr">
        <is>
          <t>건강검진 결과 (보류)</t>
        </is>
      </c>
      <c r="C36" s="15" t="inlineStr">
        <is>
          <t>id</t>
        </is>
      </c>
      <c r="D36" s="15" t="inlineStr">
        <is>
          <t>ID</t>
        </is>
      </c>
      <c r="E36" s="15" t="inlineStr">
        <is>
          <t>bigint</t>
        </is>
      </c>
      <c r="F36" s="16" t="inlineStr">
        <is>
          <t>PK</t>
        </is>
      </c>
      <c r="G36" s="15" t="inlineStr"/>
      <c r="H36" s="16" t="inlineStr">
        <is>
          <t>Y</t>
        </is>
      </c>
      <c r="I36" s="15" t="inlineStr"/>
      <c r="J36" s="15" t="inlineStr"/>
      <c r="K36" s="15" t="inlineStr">
        <is>
          <t>REQ-015</t>
        </is>
      </c>
      <c r="L36" s="16" t="inlineStr">
        <is>
          <t>기존</t>
        </is>
      </c>
      <c r="M36" s="16" t="inlineStr">
        <is>
          <t>v0.1</t>
        </is>
      </c>
      <c r="N36" s="15" t="inlineStr">
        <is>
          <t>보류 (REQ-015)</t>
        </is>
      </c>
    </row>
    <row r="37">
      <c r="A37" s="19" t="inlineStr">
        <is>
          <t>checkup_results</t>
        </is>
      </c>
      <c r="B37" s="15" t="inlineStr">
        <is>
          <t>건강검진 결과 (보류)</t>
        </is>
      </c>
      <c r="C37" s="15" t="inlineStr">
        <is>
          <t>checkup_id</t>
        </is>
      </c>
      <c r="D37" s="15" t="inlineStr">
        <is>
          <t>건강검진 ID</t>
        </is>
      </c>
      <c r="E37" s="15" t="inlineStr">
        <is>
          <t>bigint</t>
        </is>
      </c>
      <c r="F37" s="16" t="inlineStr">
        <is>
          <t>FK</t>
        </is>
      </c>
      <c r="G37" s="15" t="inlineStr">
        <is>
          <t>health_checkups.id</t>
        </is>
      </c>
      <c r="H37" s="16" t="inlineStr">
        <is>
          <t>Y</t>
        </is>
      </c>
      <c r="I37" s="15" t="inlineStr"/>
      <c r="J37" s="15" t="inlineStr"/>
      <c r="K37" s="15" t="inlineStr">
        <is>
          <t>REQ-015</t>
        </is>
      </c>
      <c r="L37" s="16" t="inlineStr">
        <is>
          <t>기존</t>
        </is>
      </c>
      <c r="M37" s="16" t="inlineStr">
        <is>
          <t>v0.1</t>
        </is>
      </c>
      <c r="N37" s="15" t="inlineStr"/>
    </row>
    <row r="38">
      <c r="A38" s="20" t="inlineStr">
        <is>
          <t>checkup_results</t>
        </is>
      </c>
      <c r="B38" s="21" t="inlineStr">
        <is>
          <t>건강검진 결과 (보류)</t>
        </is>
      </c>
      <c r="C38" s="21" t="inlineStr">
        <is>
          <t>item_code</t>
        </is>
      </c>
      <c r="D38" s="21" t="inlineStr">
        <is>
          <t>검사 항목 코드</t>
        </is>
      </c>
      <c r="E38" s="21" t="inlineStr">
        <is>
          <t>varchar(8)</t>
        </is>
      </c>
      <c r="F38" s="22" t="inlineStr">
        <is>
          <t>FK</t>
        </is>
      </c>
      <c r="G38" s="21" t="inlineStr">
        <is>
          <t>checkup_items.code</t>
        </is>
      </c>
      <c r="H38" s="22" t="inlineStr">
        <is>
          <t>N</t>
        </is>
      </c>
      <c r="I38" s="21" t="inlineStr"/>
      <c r="J38" s="21" t="inlineStr"/>
      <c r="K38" s="21" t="inlineStr">
        <is>
          <t>REQ-015</t>
        </is>
      </c>
      <c r="L38" s="22" t="inlineStr">
        <is>
          <t>수정</t>
        </is>
      </c>
      <c r="M38" s="22" t="inlineStr">
        <is>
          <t>v1.0</t>
        </is>
      </c>
      <c r="N38" s="21" t="inlineStr"/>
    </row>
    <row r="39">
      <c r="A39" s="20" t="inlineStr">
        <is>
          <t>checkup_results</t>
        </is>
      </c>
      <c r="B39" s="21" t="inlineStr">
        <is>
          <t>건강검진 결과 (보류)</t>
        </is>
      </c>
      <c r="C39" s="21" t="inlineStr">
        <is>
          <t>value_num</t>
        </is>
      </c>
      <c r="D39" s="21" t="inlineStr">
        <is>
          <t>결과 수치</t>
        </is>
      </c>
      <c r="E39" s="21" t="inlineStr">
        <is>
          <t>decimal(12,3)</t>
        </is>
      </c>
      <c r="F39" s="22" t="inlineStr"/>
      <c r="G39" s="21" t="inlineStr"/>
      <c r="H39" s="22" t="inlineStr">
        <is>
          <t>N</t>
        </is>
      </c>
      <c r="I39" s="21" t="inlineStr"/>
      <c r="J39" s="21" t="inlineStr"/>
      <c r="K39" s="21" t="inlineStr">
        <is>
          <t>REQ-015</t>
        </is>
      </c>
      <c r="L39" s="22" t="inlineStr">
        <is>
          <t>수정</t>
        </is>
      </c>
      <c r="M39" s="22" t="inlineStr">
        <is>
          <t>v1.0</t>
        </is>
      </c>
      <c r="N39" s="21" t="inlineStr"/>
    </row>
    <row r="40">
      <c r="A40" s="20" t="inlineStr">
        <is>
          <t>checkup_results</t>
        </is>
      </c>
      <c r="B40" s="21" t="inlineStr">
        <is>
          <t>건강검진 결과 (보류)</t>
        </is>
      </c>
      <c r="C40" s="21" t="inlineStr">
        <is>
          <t>value_text</t>
        </is>
      </c>
      <c r="D40" s="21" t="inlineStr">
        <is>
          <t>결과 판정</t>
        </is>
      </c>
      <c r="E40" s="21" t="inlineStr">
        <is>
          <t>varchar(200)</t>
        </is>
      </c>
      <c r="F40" s="22" t="inlineStr"/>
      <c r="G40" s="21" t="inlineStr"/>
      <c r="H40" s="22" t="inlineStr">
        <is>
          <t>N</t>
        </is>
      </c>
      <c r="I40" s="21" t="inlineStr"/>
      <c r="J40" s="21" t="inlineStr"/>
      <c r="K40" s="21" t="inlineStr">
        <is>
          <t>REQ-015</t>
        </is>
      </c>
      <c r="L40" s="22" t="inlineStr">
        <is>
          <t>수정</t>
        </is>
      </c>
      <c r="M40" s="22" t="inlineStr">
        <is>
          <t>v1.0</t>
        </is>
      </c>
      <c r="N40" s="21" t="inlineStr"/>
    </row>
  </sheetData>
  <autoFilter ref="A4:N40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11" t="inlineStr">
        <is>
          <t>ERD v1.0 · 분석</t>
        </is>
      </c>
    </row>
    <row r="2">
      <c r="A2" s="12" t="inlineStr">
        <is>
          <t>형준 · 분석 작업 · 안전성 경고 · 안내문 · 피드백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analyses</t>
        </is>
      </c>
      <c r="B5" s="15" t="inlineStr">
        <is>
          <t>분석 작업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RG-01 · RG-01-E1 · CM-04 · R-1~3 · R-7 · R-8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v1.0 · prescription_id 칸 삭제 → analysis_prescriptions로 1:N. job_id 대신 id로 폴링</t>
        </is>
      </c>
    </row>
    <row r="6">
      <c r="A6" s="19" t="inlineStr">
        <is>
          <t>analyses</t>
        </is>
      </c>
      <c r="B6" s="15" t="inlineStr">
        <is>
          <t>분석 작업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inlineStr"/>
      <c r="J6" s="15" t="inlineStr"/>
      <c r="K6" s="15" t="inlineStr">
        <is>
          <t>RG-01 · RG-01-E1 · CM-04 · R-1~3 · R-7 · R-8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20" t="inlineStr">
        <is>
          <t>analyses</t>
        </is>
      </c>
      <c r="B7" s="21" t="inlineStr">
        <is>
          <t>분석 작업</t>
        </is>
      </c>
      <c r="C7" s="21" t="inlineStr">
        <is>
          <t>status</t>
        </is>
      </c>
      <c r="D7" s="21" t="inlineStr">
        <is>
          <t>상태</t>
        </is>
      </c>
      <c r="E7" s="21" t="inlineStr">
        <is>
          <t>varchar(20)</t>
        </is>
      </c>
      <c r="F7" s="22" t="inlineStr"/>
      <c r="G7" s="21" t="inlineStr"/>
      <c r="H7" s="22" t="inlineStr">
        <is>
          <t>Y</t>
        </is>
      </c>
      <c r="I7" s="21" t="inlineStr"/>
      <c r="J7" s="21" t="inlineStr">
        <is>
          <t>queued / running / done / failed</t>
        </is>
      </c>
      <c r="K7" s="21" t="inlineStr">
        <is>
          <t>RG-01 · RG-01-E1 · CM-04 · R-1~3 · R-7 · R-8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3" t="inlineStr">
        <is>
          <t>analyses</t>
        </is>
      </c>
      <c r="B8" s="24" t="inlineStr">
        <is>
          <t>분석 작업</t>
        </is>
      </c>
      <c r="C8" s="24" t="inlineStr">
        <is>
          <t>current_step</t>
        </is>
      </c>
      <c r="D8" s="24" t="inlineStr">
        <is>
          <t>진행 단계</t>
        </is>
      </c>
      <c r="E8" s="24" t="inlineStr">
        <is>
          <t>varchar(30)</t>
        </is>
      </c>
      <c r="F8" s="25" t="inlineStr"/>
      <c r="G8" s="24" t="inlineStr"/>
      <c r="H8" s="25" t="inlineStr">
        <is>
          <t>N</t>
        </is>
      </c>
      <c r="I8" s="24" t="inlineStr"/>
      <c r="J8" s="24" t="inlineStr">
        <is>
          <t>drug_info / safety_check / guide_generation (RG-01 진행 단계)</t>
        </is>
      </c>
      <c r="K8" s="24" t="inlineStr">
        <is>
          <t>RG-01 · RG-01-E1 · CM-04 · R-1~3 · R-7 · R-8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analyses</t>
        </is>
      </c>
      <c r="B9" s="24" t="inlineStr">
        <is>
          <t>분석 작업</t>
        </is>
      </c>
      <c r="C9" s="24" t="inlineStr">
        <is>
          <t>failed_step</t>
        </is>
      </c>
      <c r="D9" s="24" t="inlineStr">
        <is>
          <t>실패 단계</t>
        </is>
      </c>
      <c r="E9" s="24" t="inlineStr">
        <is>
          <t>varchar(30)</t>
        </is>
      </c>
      <c r="F9" s="25" t="inlineStr"/>
      <c r="G9" s="24" t="inlineStr"/>
      <c r="H9" s="25" t="inlineStr">
        <is>
          <t>N</t>
        </is>
      </c>
      <c r="I9" s="24" t="inlineStr"/>
      <c r="J9" s="24" t="inlineStr">
        <is>
          <t>실패한 단계 (RG-01-E1)</t>
        </is>
      </c>
      <c r="K9" s="24" t="inlineStr">
        <is>
          <t>RG-01 · RG-01-E1 · CM-04 · R-1~3 · R-7 · R-8</t>
        </is>
      </c>
      <c r="L9" s="25" t="inlineStr">
        <is>
          <t>신규</t>
        </is>
      </c>
      <c r="M9" s="25" t="inlineStr">
        <is>
          <t>v1.0</t>
        </is>
      </c>
      <c r="N9" s="24" t="inlineStr"/>
    </row>
    <row r="10">
      <c r="A10" s="23" t="inlineStr">
        <is>
          <t>analyses</t>
        </is>
      </c>
      <c r="B10" s="24" t="inlineStr">
        <is>
          <t>분석 작업</t>
        </is>
      </c>
      <c r="C10" s="24" t="inlineStr">
        <is>
          <t>error_code</t>
        </is>
      </c>
      <c r="D10" s="24" t="inlineStr">
        <is>
          <t>에러 코드</t>
        </is>
      </c>
      <c r="E10" s="24" t="inlineStr">
        <is>
          <t>varchar(50)</t>
        </is>
      </c>
      <c r="F10" s="25" t="inlineStr"/>
      <c r="G10" s="24" t="inlineStr"/>
      <c r="H10" s="25" t="inlineStr">
        <is>
          <t>N</t>
        </is>
      </c>
      <c r="I10" s="24" t="inlineStr"/>
      <c r="J10" s="24" t="inlineStr">
        <is>
          <t>GUIDE_GENERATION_FAILED / SAFETY_CHECK_FAILED / TIMEOUT</t>
        </is>
      </c>
      <c r="K10" s="24" t="inlineStr">
        <is>
          <t>RG-01 · RG-01-E1 · CM-04 · R-1~3 · R-7 · R-8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analyses</t>
        </is>
      </c>
      <c r="B11" s="24" t="inlineStr">
        <is>
          <t>분석 작업</t>
        </is>
      </c>
      <c r="C11" s="24" t="inlineStr">
        <is>
          <t>retry_count</t>
        </is>
      </c>
      <c r="D11" s="24" t="inlineStr">
        <is>
          <t>재시도 횟수</t>
        </is>
      </c>
      <c r="E11" s="24" t="inlineStr">
        <is>
          <t>smallint</t>
        </is>
      </c>
      <c r="F11" s="25" t="inlineStr"/>
      <c r="G11" s="24" t="inlineStr"/>
      <c r="H11" s="25" t="inlineStr">
        <is>
          <t>N</t>
        </is>
      </c>
      <c r="I11" s="24" t="inlineStr">
        <is>
          <t>0</t>
        </is>
      </c>
      <c r="J11" s="24" t="inlineStr">
        <is>
          <t>3회 초과 시 재시도 막음 (REQ-055)</t>
        </is>
      </c>
      <c r="K11" s="24" t="inlineStr">
        <is>
          <t>RG-01 · RG-01-E1 · CM-04 · R-1~3 · R-7 · R-8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analyses</t>
        </is>
      </c>
      <c r="B12" s="24" t="inlineStr">
        <is>
          <t>분석 작업</t>
        </is>
      </c>
      <c r="C12" s="24" t="inlineStr">
        <is>
          <t>user_birth_year</t>
        </is>
      </c>
      <c r="D12" s="24" t="inlineStr">
        <is>
          <t>분석 시점 출생연도</t>
        </is>
      </c>
      <c r="E12" s="24" t="inlineStr">
        <is>
          <t>smallint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분석 시점 출생연도 스냅샷 — 정보 수정해도 지난 결과는 그대로 (CM-06)</t>
        </is>
      </c>
      <c r="K12" s="24" t="inlineStr">
        <is>
          <t>RG-01 · RG-01-E1 · CM-04 · R-1~3 · R-7 · R-8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19" t="inlineStr">
        <is>
          <t>analyses</t>
        </is>
      </c>
      <c r="B13" s="15" t="inlineStr">
        <is>
          <t>분석 작업</t>
        </is>
      </c>
      <c r="C13" s="15" t="inlineStr">
        <is>
          <t>started_at</t>
        </is>
      </c>
      <c r="D13" s="15" t="inlineStr">
        <is>
          <t>시작 일시</t>
        </is>
      </c>
      <c r="E13" s="15" t="inlineStr">
        <is>
          <t>timestamp</t>
        </is>
      </c>
      <c r="F13" s="16" t="inlineStr"/>
      <c r="G13" s="15" t="inlineStr"/>
      <c r="H13" s="16" t="inlineStr">
        <is>
          <t>N</t>
        </is>
      </c>
      <c r="I13" s="15" t="inlineStr"/>
      <c r="J13" s="15" t="inlineStr"/>
      <c r="K13" s="15" t="inlineStr">
        <is>
          <t>RG-01 · RG-01-E1 · CM-04 · R-1~3 · R-7 · R-8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19" t="inlineStr">
        <is>
          <t>analyses</t>
        </is>
      </c>
      <c r="B14" s="15" t="inlineStr">
        <is>
          <t>분석 작업</t>
        </is>
      </c>
      <c r="C14" s="15" t="inlineStr">
        <is>
          <t>finished_at</t>
        </is>
      </c>
      <c r="D14" s="15" t="inlineStr">
        <is>
          <t>종료 일시</t>
        </is>
      </c>
      <c r="E14" s="15" t="inlineStr">
        <is>
          <t>timestamp</t>
        </is>
      </c>
      <c r="F14" s="16" t="inlineStr"/>
      <c r="G14" s="15" t="inlineStr"/>
      <c r="H14" s="16" t="inlineStr">
        <is>
          <t>N</t>
        </is>
      </c>
      <c r="I14" s="15" t="inlineStr"/>
      <c r="J14" s="15" t="inlineStr"/>
      <c r="K14" s="15" t="inlineStr">
        <is>
          <t>RG-01 · RG-01-E1 · CM-04 · R-1~3 · R-7 · R-8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23" t="inlineStr">
        <is>
          <t>analyses</t>
        </is>
      </c>
      <c r="B15" s="24" t="inlineStr">
        <is>
          <t>분석 작업</t>
        </is>
      </c>
      <c r="C15" s="24" t="inlineStr">
        <is>
          <t>created_at</t>
        </is>
      </c>
      <c r="D15" s="24" t="inlineStr">
        <is>
          <t>생성 일시</t>
        </is>
      </c>
      <c r="E15" s="24" t="inlineStr">
        <is>
          <t>timestamp</t>
        </is>
      </c>
      <c r="F15" s="25" t="inlineStr"/>
      <c r="G15" s="24" t="inlineStr"/>
      <c r="H15" s="25" t="inlineStr">
        <is>
          <t>N</t>
        </is>
      </c>
      <c r="I15" s="24" t="inlineStr">
        <is>
          <t>now()</t>
        </is>
      </c>
      <c r="J15" s="24" t="inlineStr"/>
      <c r="K15" s="24" t="inlineStr">
        <is>
          <t>RG-01 · RG-01-E1 · CM-04 · R-1~3 · R-7 · R-8</t>
        </is>
      </c>
      <c r="L15" s="25" t="inlineStr">
        <is>
          <t>신규</t>
        </is>
      </c>
      <c r="M15" s="25" t="inlineStr">
        <is>
          <t>v1.0</t>
        </is>
      </c>
      <c r="N15" s="24" t="inlineStr"/>
    </row>
    <row r="16">
      <c r="A16" s="23" t="inlineStr">
        <is>
          <t>analysis_prescriptions</t>
        </is>
      </c>
      <c r="B16" s="24" t="inlineStr">
        <is>
          <t>분석-처방전 연결</t>
        </is>
      </c>
      <c r="C16" s="24" t="inlineStr">
        <is>
          <t>analysis_id</t>
        </is>
      </c>
      <c r="D16" s="24" t="inlineStr">
        <is>
          <t>분석 ID</t>
        </is>
      </c>
      <c r="E16" s="24" t="inlineStr">
        <is>
          <t>bigint</t>
        </is>
      </c>
      <c r="F16" s="25" t="inlineStr">
        <is>
          <t>PK · FK</t>
        </is>
      </c>
      <c r="G16" s="24" t="inlineStr">
        <is>
          <t>analyses.id</t>
        </is>
      </c>
      <c r="H16" s="25" t="inlineStr">
        <is>
          <t>Y</t>
        </is>
      </c>
      <c r="I16" s="24" t="inlineStr"/>
      <c r="J16" s="24" t="inlineStr"/>
      <c r="K16" s="24" t="inlineStr">
        <is>
          <t>R-1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v1.0 신규 · 여러 병원 처방전을 한 번에 점검 (최대 5장, REQ-013)</t>
        </is>
      </c>
    </row>
    <row r="17">
      <c r="A17" s="23" t="inlineStr">
        <is>
          <t>analysis_prescriptions</t>
        </is>
      </c>
      <c r="B17" s="24" t="inlineStr">
        <is>
          <t>분석-처방전 연결</t>
        </is>
      </c>
      <c r="C17" s="24" t="inlineStr">
        <is>
          <t>prescription_id</t>
        </is>
      </c>
      <c r="D17" s="24" t="inlineStr">
        <is>
          <t>처방전 ID</t>
        </is>
      </c>
      <c r="E17" s="24" t="inlineStr">
        <is>
          <t>bigint</t>
        </is>
      </c>
      <c r="F17" s="25" t="inlineStr">
        <is>
          <t>PK · FK</t>
        </is>
      </c>
      <c r="G17" s="24" t="inlineStr">
        <is>
          <t>prescriptions.id</t>
        </is>
      </c>
      <c r="H17" s="25" t="inlineStr">
        <is>
          <t>Y</t>
        </is>
      </c>
      <c r="I17" s="24" t="inlineStr"/>
      <c r="J17" s="24" t="inlineStr"/>
      <c r="K17" s="24" t="inlineStr">
        <is>
          <t>R-1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analysis_diseases</t>
        </is>
      </c>
      <c r="B18" s="24" t="inlineStr">
        <is>
          <t>분석 질환</t>
        </is>
      </c>
      <c r="C18" s="24" t="inlineStr">
        <is>
          <t>analysis_id</t>
        </is>
      </c>
      <c r="D18" s="24" t="inlineStr">
        <is>
          <t>분석 ID</t>
        </is>
      </c>
      <c r="E18" s="24" t="inlineStr">
        <is>
          <t>bigint</t>
        </is>
      </c>
      <c r="F18" s="25" t="inlineStr">
        <is>
          <t>PK · FK</t>
        </is>
      </c>
      <c r="G18" s="24" t="inlineStr">
        <is>
          <t>analyses.id</t>
        </is>
      </c>
      <c r="H18" s="25" t="inlineStr">
        <is>
          <t>Y</t>
        </is>
      </c>
      <c r="I18" s="24" t="inlineStr"/>
      <c r="J18" s="24" t="inlineStr"/>
      <c r="K18" s="24" t="inlineStr">
        <is>
          <t>RG-05 · RG-05-E1 · R-6</t>
        </is>
      </c>
      <c r="L18" s="25" t="inlineStr">
        <is>
          <t>신규</t>
        </is>
      </c>
      <c r="M18" s="25" t="inlineStr">
        <is>
          <t>v1.0</t>
        </is>
      </c>
      <c r="N18" s="24" t="inlineStr">
        <is>
          <t>v1.0 신규 · 생활습관 가이드 조회 기준</t>
        </is>
      </c>
    </row>
    <row r="19">
      <c r="A19" s="23" t="inlineStr">
        <is>
          <t>analysis_diseases</t>
        </is>
      </c>
      <c r="B19" s="24" t="inlineStr">
        <is>
          <t>분석 질환</t>
        </is>
      </c>
      <c r="C19" s="24" t="inlineStr">
        <is>
          <t>disease_code</t>
        </is>
      </c>
      <c r="D19" s="24" t="inlineStr">
        <is>
          <t>상병 코드</t>
        </is>
      </c>
      <c r="E19" s="24" t="inlineStr">
        <is>
          <t>varchar(10)</t>
        </is>
      </c>
      <c r="F19" s="25" t="inlineStr">
        <is>
          <t>PK · FK</t>
        </is>
      </c>
      <c r="G19" s="24" t="inlineStr">
        <is>
          <t>diseases.code</t>
        </is>
      </c>
      <c r="H19" s="25" t="inlineStr">
        <is>
          <t>Y</t>
        </is>
      </c>
      <c r="I19" s="24" t="inlineStr"/>
      <c r="J19" s="24" t="inlineStr"/>
      <c r="K19" s="24" t="inlineStr">
        <is>
          <t>RG-05 · RG-05-E1 · R-6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analysis_diseases</t>
        </is>
      </c>
      <c r="B20" s="24" t="inlineStr">
        <is>
          <t>분석 질환</t>
        </is>
      </c>
      <c r="C20" s="24" t="inlineStr">
        <is>
          <t>origin</t>
        </is>
      </c>
      <c r="D20" s="24" t="inlineStr">
        <is>
          <t>출처 구분</t>
        </is>
      </c>
      <c r="E20" s="24" t="inlineStr">
        <is>
          <t>varchar(20)</t>
        </is>
      </c>
      <c r="F20" s="25" t="inlineStr"/>
      <c r="G20" s="24" t="inlineStr"/>
      <c r="H20" s="25" t="inlineStr">
        <is>
          <t>Y</t>
        </is>
      </c>
      <c r="I20" s="24" t="inlineStr"/>
      <c r="J20" s="24" t="inlineStr">
        <is>
          <t>prescription(처방전 코드) / user(RG-05-E1에서 직접 선택)</t>
        </is>
      </c>
      <c r="K20" s="24" t="inlineStr">
        <is>
          <t>RG-05 · RG-05-E1 · R-6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19" t="inlineStr">
        <is>
          <t>analysis_warnings</t>
        </is>
      </c>
      <c r="B21" s="15" t="inlineStr">
        <is>
          <t>안전성 경고</t>
        </is>
      </c>
      <c r="C21" s="15" t="inlineStr">
        <is>
          <t>id</t>
        </is>
      </c>
      <c r="D21" s="15" t="inlineStr">
        <is>
          <t>ID</t>
        </is>
      </c>
      <c r="E21" s="15" t="inlineStr">
        <is>
          <t>bigint</t>
        </is>
      </c>
      <c r="F21" s="16" t="inlineStr">
        <is>
          <t>PK</t>
        </is>
      </c>
      <c r="G21" s="15" t="inlineStr"/>
      <c r="H21" s="16" t="inlineStr">
        <is>
          <t>Y</t>
        </is>
      </c>
      <c r="I21" s="15" t="inlineStr"/>
      <c r="J21" s="15" t="inlineStr"/>
      <c r="K21" s="15" t="inlineStr">
        <is>
          <t>RG-02 · RG-02-E1 · RG-03 · R-4 · R-5</t>
        </is>
      </c>
      <c r="L21" s="16" t="inlineStr">
        <is>
          <t>기존</t>
        </is>
      </c>
      <c r="M21" s="16" t="inlineStr">
        <is>
          <t>v0.1</t>
        </is>
      </c>
      <c r="N21" s="15" t="inlineStr">
        <is>
          <t>DB 조회로 결정적으로 산출. 0건이면 RG-02-E1</t>
        </is>
      </c>
    </row>
    <row r="22">
      <c r="A22" s="19" t="inlineStr">
        <is>
          <t>analysis_warnings</t>
        </is>
      </c>
      <c r="B22" s="15" t="inlineStr">
        <is>
          <t>안전성 경고</t>
        </is>
      </c>
      <c r="C22" s="15" t="inlineStr">
        <is>
          <t>analysis_id</t>
        </is>
      </c>
      <c r="D22" s="15" t="inlineStr">
        <is>
          <t>분석 ID</t>
        </is>
      </c>
      <c r="E22" s="15" t="inlineStr">
        <is>
          <t>bigint</t>
        </is>
      </c>
      <c r="F22" s="16" t="inlineStr">
        <is>
          <t>FK</t>
        </is>
      </c>
      <c r="G22" s="15" t="inlineStr">
        <is>
          <t>analyses.id</t>
        </is>
      </c>
      <c r="H22" s="16" t="inlineStr">
        <is>
          <t>Y</t>
        </is>
      </c>
      <c r="I22" s="15" t="inlineStr"/>
      <c r="J22" s="15" t="inlineStr"/>
      <c r="K22" s="15" t="inlineStr">
        <is>
          <t>RG-02 · RG-02-E1 · RG-03 · R-4 · R-5</t>
        </is>
      </c>
      <c r="L22" s="16" t="inlineStr">
        <is>
          <t>기존</t>
        </is>
      </c>
      <c r="M22" s="16" t="inlineStr">
        <is>
          <t>v0.1</t>
        </is>
      </c>
      <c r="N22" s="15" t="inlineStr"/>
    </row>
    <row r="23">
      <c r="A23" s="20" t="inlineStr">
        <is>
          <t>analysis_warnings</t>
        </is>
      </c>
      <c r="B23" s="21" t="inlineStr">
        <is>
          <t>안전성 경고</t>
        </is>
      </c>
      <c r="C23" s="21" t="inlineStr">
        <is>
          <t>warning_type</t>
        </is>
      </c>
      <c r="D23" s="21" t="inlineStr">
        <is>
          <t>경고 종류</t>
        </is>
      </c>
      <c r="E23" s="21" t="inlineStr">
        <is>
          <t>varchar(30)</t>
        </is>
      </c>
      <c r="F23" s="22" t="inlineStr"/>
      <c r="G23" s="21" t="inlineStr"/>
      <c r="H23" s="22" t="inlineStr">
        <is>
          <t>Y</t>
        </is>
      </c>
      <c r="I23" s="21" t="inlineStr"/>
      <c r="J23" s="21" t="inlineStr">
        <is>
          <t>interaction / duplicate_ingredient / duplicate_efficacy / elderly / age / pregnancy / dose_exceed / polypharmacy(v1.0 🟡)</t>
        </is>
      </c>
      <c r="K23" s="21" t="inlineStr">
        <is>
          <t>RG-02 · RG-02-E1 · RG-03 · R-4 · R-5</t>
        </is>
      </c>
      <c r="L23" s="22" t="inlineStr">
        <is>
          <t>수정</t>
        </is>
      </c>
      <c r="M23" s="22" t="inlineStr">
        <is>
          <t>v1.0</t>
        </is>
      </c>
      <c r="N23" s="21" t="inlineStr"/>
    </row>
    <row r="24">
      <c r="A24" s="20" t="inlineStr">
        <is>
          <t>analysis_warnings</t>
        </is>
      </c>
      <c r="B24" s="21" t="inlineStr">
        <is>
          <t>안전성 경고</t>
        </is>
      </c>
      <c r="C24" s="21" t="inlineStr">
        <is>
          <t>severity</t>
        </is>
      </c>
      <c r="D24" s="21" t="inlineStr">
        <is>
          <t>경고 등급</t>
        </is>
      </c>
      <c r="E24" s="21" t="inlineStr">
        <is>
          <t>varchar(10)</t>
        </is>
      </c>
      <c r="F24" s="22" t="inlineStr"/>
      <c r="G24" s="21" t="inlineStr"/>
      <c r="H24" s="22" t="inlineStr">
        <is>
          <t>Y</t>
        </is>
      </c>
      <c r="I24" s="21" t="inlineStr"/>
      <c r="J24" s="21" t="inlineStr">
        <is>
          <t>danger / caution / info</t>
        </is>
      </c>
      <c r="K24" s="21" t="inlineStr">
        <is>
          <t>RG-02 · RG-02-E1 · RG-03 · R-4 · R-5</t>
        </is>
      </c>
      <c r="L24" s="22" t="inlineStr">
        <is>
          <t>수정</t>
        </is>
      </c>
      <c r="M24" s="22" t="inlineStr">
        <is>
          <t>v1.0</t>
        </is>
      </c>
      <c r="N24" s="21" t="inlineStr"/>
    </row>
    <row r="25">
      <c r="A25" s="23" t="inlineStr">
        <is>
          <t>analysis_warnings</t>
        </is>
      </c>
      <c r="B25" s="24" t="inlineStr">
        <is>
          <t>안전성 경고</t>
        </is>
      </c>
      <c r="C25" s="24" t="inlineStr">
        <is>
          <t>item_id_a</t>
        </is>
      </c>
      <c r="D25" s="24" t="inlineStr">
        <is>
          <t>대상 약 항목 ID</t>
        </is>
      </c>
      <c r="E25" s="24" t="inlineStr">
        <is>
          <t>bigint</t>
        </is>
      </c>
      <c r="F25" s="25" t="inlineStr">
        <is>
          <t>FK</t>
        </is>
      </c>
      <c r="G25" s="24" t="inlineStr">
        <is>
          <t>prescription_items.id</t>
        </is>
      </c>
      <c r="H25" s="25" t="inlineStr">
        <is>
          <t>N</t>
        </is>
      </c>
      <c r="I25" s="24" t="inlineStr"/>
      <c r="J25" s="24" t="inlineStr">
        <is>
          <t>약 이름 대신 항목 참조 (처방 병원 표시용)</t>
        </is>
      </c>
      <c r="K25" s="24" t="inlineStr">
        <is>
          <t>RG-02 · RG-02-E1 · RG-03 · R-4 · R-5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23" t="inlineStr">
        <is>
          <t>analysis_warnings</t>
        </is>
      </c>
      <c r="B26" s="24" t="inlineStr">
        <is>
          <t>안전성 경고</t>
        </is>
      </c>
      <c r="C26" s="24" t="inlineStr">
        <is>
          <t>item_id_b</t>
        </is>
      </c>
      <c r="D26" s="24" t="inlineStr">
        <is>
          <t>상대 약 항목 ID</t>
        </is>
      </c>
      <c r="E26" s="24" t="inlineStr">
        <is>
          <t>bigint</t>
        </is>
      </c>
      <c r="F26" s="25" t="inlineStr">
        <is>
          <t>FK</t>
        </is>
      </c>
      <c r="G26" s="24" t="inlineStr">
        <is>
          <t>prescription_items.id</t>
        </is>
      </c>
      <c r="H26" s="25" t="inlineStr">
        <is>
          <t>N</t>
        </is>
      </c>
      <c r="I26" s="24" t="inlineStr"/>
      <c r="J26" s="24" t="inlineStr">
        <is>
          <t>상대 약 (병용금기 · 중복)</t>
        </is>
      </c>
      <c r="K26" s="24" t="inlineStr">
        <is>
          <t>RG-02 · RG-02-E1 · RG-03 · R-4 · R-5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0" t="inlineStr">
        <is>
          <t>analysis_warnings</t>
        </is>
      </c>
      <c r="B27" s="21" t="inlineStr">
        <is>
          <t>안전성 경고</t>
        </is>
      </c>
      <c r="C27" s="21" t="inlineStr">
        <is>
          <t>reason</t>
        </is>
      </c>
      <c r="D27" s="21" t="inlineStr">
        <is>
          <t>사유</t>
        </is>
      </c>
      <c r="E27" s="21" t="inlineStr">
        <is>
          <t>text</t>
        </is>
      </c>
      <c r="F27" s="22" t="inlineStr"/>
      <c r="G27" s="21" t="inlineStr"/>
      <c r="H27" s="22" t="inlineStr">
        <is>
          <t>N</t>
        </is>
      </c>
      <c r="I27" s="21" t="inlineStr"/>
      <c r="J27" s="21" t="inlineStr">
        <is>
          <t>DUR 금기 사유 원문</t>
        </is>
      </c>
      <c r="K27" s="21" t="inlineStr">
        <is>
          <t>RG-02 · RG-02-E1 · RG-03 · R-4 · R-5</t>
        </is>
      </c>
      <c r="L27" s="22" t="inlineStr">
        <is>
          <t>수정</t>
        </is>
      </c>
      <c r="M27" s="22" t="inlineStr">
        <is>
          <t>v1.0</t>
        </is>
      </c>
      <c r="N27" s="21" t="inlineStr"/>
    </row>
    <row r="28">
      <c r="A28" s="23" t="inlineStr">
        <is>
          <t>analysis_warnings</t>
        </is>
      </c>
      <c r="B28" s="24" t="inlineStr">
        <is>
          <t>안전성 경고</t>
        </is>
      </c>
      <c r="C28" s="24" t="inlineStr">
        <is>
          <t>summary</t>
        </is>
      </c>
      <c r="D28" s="24" t="inlineStr">
        <is>
          <t>화면 표시 문장</t>
        </is>
      </c>
      <c r="E28" s="24" t="inlineStr">
        <is>
          <t>text</t>
        </is>
      </c>
      <c r="F28" s="25" t="inlineStr"/>
      <c r="G28" s="24" t="inlineStr"/>
      <c r="H28" s="25" t="inlineStr">
        <is>
          <t>N</t>
        </is>
      </c>
      <c r="I28" s="24" t="inlineStr"/>
      <c r="J28" s="24" t="inlineStr">
        <is>
          <t>화면 표시 문장 (템플릿, AI 생성 아님 · NFR-032)</t>
        </is>
      </c>
      <c r="K28" s="24" t="inlineStr">
        <is>
          <t>RG-02 · RG-02-E1 · RG-03 · R-4 · R-5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0" t="inlineStr">
        <is>
          <t>analysis_warnings</t>
        </is>
      </c>
      <c r="B29" s="21" t="inlineStr">
        <is>
          <t>안전성 경고</t>
        </is>
      </c>
      <c r="C29" s="21" t="inlineStr">
        <is>
          <t>source</t>
        </is>
      </c>
      <c r="D29" s="21" t="inlineStr">
        <is>
          <t>고시명</t>
        </is>
      </c>
      <c r="E29" s="21" t="inlineStr">
        <is>
          <t>varchar(100)</t>
        </is>
      </c>
      <c r="F29" s="22" t="inlineStr"/>
      <c r="G29" s="21" t="inlineStr"/>
      <c r="H29" s="22" t="inlineStr">
        <is>
          <t>N</t>
        </is>
      </c>
      <c r="I29" s="21" t="inlineStr"/>
      <c r="J29" s="21" t="inlineStr">
        <is>
          <t>식약처 고시명</t>
        </is>
      </c>
      <c r="K29" s="21" t="inlineStr">
        <is>
          <t>RG-02 · RG-02-E1 · RG-03 · R-4 · R-5</t>
        </is>
      </c>
      <c r="L29" s="22" t="inlineStr">
        <is>
          <t>수정</t>
        </is>
      </c>
      <c r="M29" s="22" t="inlineStr">
        <is>
          <t>v1.0</t>
        </is>
      </c>
      <c r="N29" s="21" t="inlineStr"/>
    </row>
    <row r="30">
      <c r="A30" s="23" t="inlineStr">
        <is>
          <t>analysis_warnings</t>
        </is>
      </c>
      <c r="B30" s="24" t="inlineStr">
        <is>
          <t>안전성 경고</t>
        </is>
      </c>
      <c r="C30" s="24" t="inlineStr">
        <is>
          <t>notice_date</t>
        </is>
      </c>
      <c r="D30" s="24" t="inlineStr">
        <is>
          <t>고시일</t>
        </is>
      </c>
      <c r="E30" s="24" t="inlineStr">
        <is>
          <t>date</t>
        </is>
      </c>
      <c r="F30" s="25" t="inlineStr"/>
      <c r="G30" s="24" t="inlineStr"/>
      <c r="H30" s="25" t="inlineStr">
        <is>
          <t>N</t>
        </is>
      </c>
      <c r="I30" s="24" t="inlineStr"/>
      <c r="J30" s="24" t="inlineStr"/>
      <c r="K30" s="24" t="inlineStr">
        <is>
          <t>RG-02 · RG-02-E1 · RG-03 · R-4 · R-5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23" t="inlineStr">
        <is>
          <t>analysis_warnings</t>
        </is>
      </c>
      <c r="B31" s="24" t="inlineStr">
        <is>
          <t>안전성 경고</t>
        </is>
      </c>
      <c r="C31" s="24" t="inlineStr">
        <is>
          <t>daily_total</t>
        </is>
      </c>
      <c r="D31" s="24" t="inlineStr">
        <is>
          <t>1일 총 복용량</t>
        </is>
      </c>
      <c r="E31" s="24" t="inlineStr">
        <is>
          <t>decimal(12,3)</t>
        </is>
      </c>
      <c r="F31" s="25" t="inlineStr"/>
      <c r="G31" s="24" t="inlineStr"/>
      <c r="H31" s="25" t="inlineStr">
        <is>
          <t>N</t>
        </is>
      </c>
      <c r="I31" s="24" t="inlineStr"/>
      <c r="J31" s="24" t="inlineStr">
        <is>
          <t>1일 최대용량 초과일 때만</t>
        </is>
      </c>
      <c r="K31" s="24" t="inlineStr">
        <is>
          <t>RG-02 · RG-02-E1 · RG-03 · R-4 · R-5</t>
        </is>
      </c>
      <c r="L31" s="25" t="inlineStr">
        <is>
          <t>신규</t>
        </is>
      </c>
      <c r="M31" s="25" t="inlineStr">
        <is>
          <t>v1.0</t>
        </is>
      </c>
      <c r="N31" s="24" t="inlineStr"/>
    </row>
    <row r="32">
      <c r="A32" s="23" t="inlineStr">
        <is>
          <t>analysis_warnings</t>
        </is>
      </c>
      <c r="B32" s="24" t="inlineStr">
        <is>
          <t>안전성 경고</t>
        </is>
      </c>
      <c r="C32" s="24" t="inlineStr">
        <is>
          <t>max_daily</t>
        </is>
      </c>
      <c r="D32" s="24" t="inlineStr">
        <is>
          <t>1일 최대 기준량</t>
        </is>
      </c>
      <c r="E32" s="24" t="inlineStr">
        <is>
          <t>decimal(12,3)</t>
        </is>
      </c>
      <c r="F32" s="25" t="inlineStr"/>
      <c r="G32" s="24" t="inlineStr"/>
      <c r="H32" s="25" t="inlineStr">
        <is>
          <t>N</t>
        </is>
      </c>
      <c r="I32" s="24" t="inlineStr"/>
      <c r="J32" s="24" t="inlineStr"/>
      <c r="K32" s="24" t="inlineStr">
        <is>
          <t>RG-02 · RG-02-E1 · RG-03 · R-4 · R-5</t>
        </is>
      </c>
      <c r="L32" s="25" t="inlineStr">
        <is>
          <t>신규</t>
        </is>
      </c>
      <c r="M32" s="25" t="inlineStr">
        <is>
          <t>v1.0</t>
        </is>
      </c>
      <c r="N32" s="24" t="inlineStr"/>
    </row>
    <row r="33">
      <c r="A33" s="19" t="inlineStr">
        <is>
          <t>guides</t>
        </is>
      </c>
      <c r="B33" s="15" t="inlineStr">
        <is>
          <t>복약 · 생활습관 안내문</t>
        </is>
      </c>
      <c r="C33" s="15" t="inlineStr">
        <is>
          <t>id</t>
        </is>
      </c>
      <c r="D33" s="15" t="inlineStr">
        <is>
          <t>ID</t>
        </is>
      </c>
      <c r="E33" s="15" t="inlineStr">
        <is>
          <t>bigint</t>
        </is>
      </c>
      <c r="F33" s="16" t="inlineStr">
        <is>
          <t>PK</t>
        </is>
      </c>
      <c r="G33" s="15" t="inlineStr"/>
      <c r="H33" s="16" t="inlineStr">
        <is>
          <t>Y</t>
        </is>
      </c>
      <c r="I33" s="15" t="inlineStr"/>
      <c r="J33" s="15" t="inlineStr"/>
      <c r="K33" s="15" t="inlineStr">
        <is>
          <t>RG-04 · RG-05 · R-4 · R-10</t>
        </is>
      </c>
      <c r="L33" s="16" t="inlineStr">
        <is>
          <t>기존</t>
        </is>
      </c>
      <c r="M33" s="16" t="inlineStr">
        <is>
          <t>v0.1</t>
        </is>
      </c>
      <c r="N33" s="15" t="inlineStr"/>
    </row>
    <row r="34">
      <c r="A34" s="19" t="inlineStr">
        <is>
          <t>guides</t>
        </is>
      </c>
      <c r="B34" s="15" t="inlineStr">
        <is>
          <t>복약 · 생활습관 안내문</t>
        </is>
      </c>
      <c r="C34" s="15" t="inlineStr">
        <is>
          <t>analysis_id</t>
        </is>
      </c>
      <c r="D34" s="15" t="inlineStr">
        <is>
          <t>분석 ID</t>
        </is>
      </c>
      <c r="E34" s="15" t="inlineStr">
        <is>
          <t>bigint</t>
        </is>
      </c>
      <c r="F34" s="16" t="inlineStr">
        <is>
          <t>FK</t>
        </is>
      </c>
      <c r="G34" s="15" t="inlineStr">
        <is>
          <t>analyses.id</t>
        </is>
      </c>
      <c r="H34" s="16" t="inlineStr">
        <is>
          <t>Y</t>
        </is>
      </c>
      <c r="I34" s="15" t="inlineStr"/>
      <c r="J34" s="15" t="inlineStr"/>
      <c r="K34" s="15" t="inlineStr">
        <is>
          <t>RG-04 · RG-05 · R-4 · R-10</t>
        </is>
      </c>
      <c r="L34" s="16" t="inlineStr">
        <is>
          <t>기존</t>
        </is>
      </c>
      <c r="M34" s="16" t="inlineStr">
        <is>
          <t>v0.1</t>
        </is>
      </c>
      <c r="N34" s="15" t="inlineStr"/>
    </row>
    <row r="35">
      <c r="A35" s="20" t="inlineStr">
        <is>
          <t>guides</t>
        </is>
      </c>
      <c r="B35" s="21" t="inlineStr">
        <is>
          <t>복약 · 생활습관 안내문</t>
        </is>
      </c>
      <c r="C35" s="21" t="inlineStr">
        <is>
          <t>section</t>
        </is>
      </c>
      <c r="D35" s="21" t="inlineStr">
        <is>
          <t>안내 구분</t>
        </is>
      </c>
      <c r="E35" s="21" t="inlineStr">
        <is>
          <t>varchar(30)</t>
        </is>
      </c>
      <c r="F35" s="22" t="inlineStr"/>
      <c r="G35" s="21" t="inlineStr"/>
      <c r="H35" s="22" t="inlineStr">
        <is>
          <t>N</t>
        </is>
      </c>
      <c r="I35" s="21" t="inlineStr"/>
      <c r="J35" s="21" t="inlineStr">
        <is>
          <t>medication / lifestyle</t>
        </is>
      </c>
      <c r="K35" s="21" t="inlineStr">
        <is>
          <t>RG-04 · RG-05 · R-4 · R-10</t>
        </is>
      </c>
      <c r="L35" s="22" t="inlineStr">
        <is>
          <t>수정</t>
        </is>
      </c>
      <c r="M35" s="22" t="inlineStr">
        <is>
          <t>v1.0</t>
        </is>
      </c>
      <c r="N35" s="21" t="inlineStr"/>
    </row>
    <row r="36">
      <c r="A36" s="23" t="inlineStr">
        <is>
          <t>guides</t>
        </is>
      </c>
      <c r="B36" s="24" t="inlineStr">
        <is>
          <t>복약 · 생활습관 안내문</t>
        </is>
      </c>
      <c r="C36" s="24" t="inlineStr">
        <is>
          <t>status</t>
        </is>
      </c>
      <c r="D36" s="24" t="inlineStr">
        <is>
          <t>상태</t>
        </is>
      </c>
      <c r="E36" s="24" t="inlineStr">
        <is>
          <t>varchar(20)</t>
        </is>
      </c>
      <c r="F36" s="25" t="inlineStr"/>
      <c r="G36" s="24" t="inlineStr"/>
      <c r="H36" s="25" t="inlineStr">
        <is>
          <t>N</t>
        </is>
      </c>
      <c r="I36" s="24" t="inlineStr"/>
      <c r="J36" s="24" t="inlineStr">
        <is>
          <t>done / failed (부분 결과 RG-01-E1 → RG-04 · RG-05 "만들지 못했어요")</t>
        </is>
      </c>
      <c r="K36" s="24" t="inlineStr">
        <is>
          <t>RG-04 · RG-05 · R-4 · R-10</t>
        </is>
      </c>
      <c r="L36" s="25" t="inlineStr">
        <is>
          <t>신규</t>
        </is>
      </c>
      <c r="M36" s="25" t="inlineStr">
        <is>
          <t>v1.0</t>
        </is>
      </c>
      <c r="N36" s="24" t="inlineStr"/>
    </row>
    <row r="37">
      <c r="A37" s="20" t="inlineStr">
        <is>
          <t>guides</t>
        </is>
      </c>
      <c r="B37" s="21" t="inlineStr">
        <is>
          <t>복약 · 생활습관 안내문</t>
        </is>
      </c>
      <c r="C37" s="21" t="inlineStr">
        <is>
          <t>content</t>
        </is>
      </c>
      <c r="D37" s="21" t="inlineStr">
        <is>
          <t>안내 내용 (JSON)</t>
        </is>
      </c>
      <c r="E37" s="21" t="inlineStr">
        <is>
          <t>jsonb</t>
        </is>
      </c>
      <c r="F37" s="22" t="inlineStr"/>
      <c r="G37" s="21" t="inlineStr"/>
      <c r="H37" s="22" t="inlineStr">
        <is>
          <t>N</t>
        </is>
      </c>
      <c r="I37" s="21" t="inlineStr"/>
      <c r="J37" s="21" t="inlineStr">
        <is>
          <t>항목 고정 JSON (약별 purpose · howToTake · caution · source) — 결과 일관성 NFR-030</t>
        </is>
      </c>
      <c r="K37" s="21" t="inlineStr">
        <is>
          <t>RG-04 · RG-05 · R-4 · R-10</t>
        </is>
      </c>
      <c r="L37" s="22" t="inlineStr">
        <is>
          <t>수정</t>
        </is>
      </c>
      <c r="M37" s="22" t="inlineStr">
        <is>
          <t>v1.0</t>
        </is>
      </c>
      <c r="N37" s="21" t="inlineStr"/>
    </row>
    <row r="38">
      <c r="A38" s="20" t="inlineStr">
        <is>
          <t>guides</t>
        </is>
      </c>
      <c r="B38" s="21" t="inlineStr">
        <is>
          <t>복약 · 생활습관 안내문</t>
        </is>
      </c>
      <c r="C38" s="21" t="inlineStr">
        <is>
          <t>prompt_ver</t>
        </is>
      </c>
      <c r="D38" s="21" t="inlineStr">
        <is>
          <t>프롬프트 버전</t>
        </is>
      </c>
      <c r="E38" s="21" t="inlineStr">
        <is>
          <t>varchar(20)</t>
        </is>
      </c>
      <c r="F38" s="22" t="inlineStr"/>
      <c r="G38" s="21" t="inlineStr"/>
      <c r="H38" s="22" t="inlineStr">
        <is>
          <t>N</t>
        </is>
      </c>
      <c r="I38" s="21" t="inlineStr"/>
      <c r="J38" s="21" t="inlineStr"/>
      <c r="K38" s="21" t="inlineStr">
        <is>
          <t>RG-04 · RG-05 · R-4 · R-10</t>
        </is>
      </c>
      <c r="L38" s="22" t="inlineStr">
        <is>
          <t>수정</t>
        </is>
      </c>
      <c r="M38" s="22" t="inlineStr">
        <is>
          <t>v1.0</t>
        </is>
      </c>
      <c r="N38" s="21" t="inlineStr"/>
    </row>
    <row r="39">
      <c r="A39" s="20" t="inlineStr">
        <is>
          <t>guides</t>
        </is>
      </c>
      <c r="B39" s="21" t="inlineStr">
        <is>
          <t>복약 · 생활습관 안내문</t>
        </is>
      </c>
      <c r="C39" s="21" t="inlineStr">
        <is>
          <t>model_name</t>
        </is>
      </c>
      <c r="D39" s="21" t="inlineStr">
        <is>
          <t>모델 이름</t>
        </is>
      </c>
      <c r="E39" s="21" t="inlineStr">
        <is>
          <t>varchar(50)</t>
        </is>
      </c>
      <c r="F39" s="22" t="inlineStr"/>
      <c r="G39" s="21" t="inlineStr"/>
      <c r="H39" s="22" t="inlineStr">
        <is>
          <t>N</t>
        </is>
      </c>
      <c r="I39" s="21" t="inlineStr"/>
      <c r="J39" s="21" t="inlineStr"/>
      <c r="K39" s="21" t="inlineStr">
        <is>
          <t>RG-04 · RG-05 · R-4 · R-10</t>
        </is>
      </c>
      <c r="L39" s="22" t="inlineStr">
        <is>
          <t>수정</t>
        </is>
      </c>
      <c r="M39" s="22" t="inlineStr">
        <is>
          <t>v1.0</t>
        </is>
      </c>
      <c r="N39" s="21" t="inlineStr"/>
    </row>
    <row r="40">
      <c r="A40" s="20" t="inlineStr">
        <is>
          <t>guides</t>
        </is>
      </c>
      <c r="B40" s="21" t="inlineStr">
        <is>
          <t>복약 · 생활습관 안내문</t>
        </is>
      </c>
      <c r="C40" s="21" t="inlineStr">
        <is>
          <t>tts_url</t>
        </is>
      </c>
      <c r="D40" s="21" t="inlineStr">
        <is>
          <t>음성 파일 주소</t>
        </is>
      </c>
      <c r="E40" s="21" t="inlineStr">
        <is>
          <t>varchar(500)</t>
        </is>
      </c>
      <c r="F40" s="22" t="inlineStr"/>
      <c r="G40" s="21" t="inlineStr"/>
      <c r="H40" s="22" t="inlineStr">
        <is>
          <t>N</t>
        </is>
      </c>
      <c r="I40" s="21" t="inlineStr"/>
      <c r="J40" s="21" t="inlineStr">
        <is>
          <t>선택 구현 (REQ-100)</t>
        </is>
      </c>
      <c r="K40" s="21" t="inlineStr">
        <is>
          <t>RG-04 · RG-05 · R-4 · R-10</t>
        </is>
      </c>
      <c r="L40" s="22" t="inlineStr">
        <is>
          <t>수정</t>
        </is>
      </c>
      <c r="M40" s="22" t="inlineStr">
        <is>
          <t>v1.0</t>
        </is>
      </c>
      <c r="N40" s="21" t="inlineStr"/>
    </row>
    <row r="41">
      <c r="A41" s="19" t="inlineStr">
        <is>
          <t>guides</t>
        </is>
      </c>
      <c r="B41" s="15" t="inlineStr">
        <is>
          <t>복약 · 생활습관 안내문</t>
        </is>
      </c>
      <c r="C41" s="15" t="inlineStr">
        <is>
          <t>created_at</t>
        </is>
      </c>
      <c r="D41" s="15" t="inlineStr">
        <is>
          <t>생성 일시</t>
        </is>
      </c>
      <c r="E41" s="15" t="inlineStr">
        <is>
          <t>timestamp</t>
        </is>
      </c>
      <c r="F41" s="16" t="inlineStr"/>
      <c r="G41" s="15" t="inlineStr"/>
      <c r="H41" s="16" t="inlineStr">
        <is>
          <t>N</t>
        </is>
      </c>
      <c r="I41" s="15" t="inlineStr">
        <is>
          <t>now()</t>
        </is>
      </c>
      <c r="J41" s="15" t="inlineStr"/>
      <c r="K41" s="15" t="inlineStr">
        <is>
          <t>RG-04 · RG-05 · R-4 · R-10</t>
        </is>
      </c>
      <c r="L41" s="16" t="inlineStr">
        <is>
          <t>기존</t>
        </is>
      </c>
      <c r="M41" s="16" t="inlineStr">
        <is>
          <t>v0.1</t>
        </is>
      </c>
      <c r="N41" s="15" t="inlineStr"/>
    </row>
    <row r="42">
      <c r="A42" s="19" t="inlineStr">
        <is>
          <t>feedbacks</t>
        </is>
      </c>
      <c r="B42" s="15" t="inlineStr">
        <is>
          <t>안내문 피드백</t>
        </is>
      </c>
      <c r="C42" s="15" t="inlineStr">
        <is>
          <t>id</t>
        </is>
      </c>
      <c r="D42" s="15" t="inlineStr">
        <is>
          <t>ID</t>
        </is>
      </c>
      <c r="E42" s="15" t="inlineStr">
        <is>
          <t>bigint</t>
        </is>
      </c>
      <c r="F42" s="16" t="inlineStr">
        <is>
          <t>PK</t>
        </is>
      </c>
      <c r="G42" s="15" t="inlineStr"/>
      <c r="H42" s="16" t="inlineStr">
        <is>
          <t>Y</t>
        </is>
      </c>
      <c r="I42" s="15" t="inlineStr"/>
      <c r="J42" s="15" t="inlineStr"/>
      <c r="K42" s="15" t="inlineStr">
        <is>
          <t>RG-04 · R-9</t>
        </is>
      </c>
      <c r="L42" s="16" t="inlineStr">
        <is>
          <t>기존</t>
        </is>
      </c>
      <c r="M42" s="16" t="inlineStr">
        <is>
          <t>v0.1</t>
        </is>
      </c>
      <c r="N42" s="15" t="inlineStr"/>
    </row>
    <row r="43">
      <c r="A43" s="19" t="inlineStr">
        <is>
          <t>feedbacks</t>
        </is>
      </c>
      <c r="B43" s="15" t="inlineStr">
        <is>
          <t>안내문 피드백</t>
        </is>
      </c>
      <c r="C43" s="15" t="inlineStr">
        <is>
          <t>guide_id</t>
        </is>
      </c>
      <c r="D43" s="15" t="inlineStr">
        <is>
          <t>안내문 ID</t>
        </is>
      </c>
      <c r="E43" s="15" t="inlineStr">
        <is>
          <t>bigint</t>
        </is>
      </c>
      <c r="F43" s="16" t="inlineStr">
        <is>
          <t>FK</t>
        </is>
      </c>
      <c r="G43" s="15" t="inlineStr">
        <is>
          <t>guides.id</t>
        </is>
      </c>
      <c r="H43" s="16" t="inlineStr">
        <is>
          <t>Y</t>
        </is>
      </c>
      <c r="I43" s="15" t="inlineStr"/>
      <c r="J43" s="15" t="inlineStr"/>
      <c r="K43" s="15" t="inlineStr">
        <is>
          <t>RG-04 · R-9</t>
        </is>
      </c>
      <c r="L43" s="16" t="inlineStr">
        <is>
          <t>기존</t>
        </is>
      </c>
      <c r="M43" s="16" t="inlineStr">
        <is>
          <t>v0.1</t>
        </is>
      </c>
      <c r="N43" s="15" t="inlineStr"/>
    </row>
    <row r="44">
      <c r="A44" s="19" t="inlineStr">
        <is>
          <t>feedbacks</t>
        </is>
      </c>
      <c r="B44" s="15" t="inlineStr">
        <is>
          <t>안내문 피드백</t>
        </is>
      </c>
      <c r="C44" s="15" t="inlineStr">
        <is>
          <t>user_id</t>
        </is>
      </c>
      <c r="D44" s="15" t="inlineStr">
        <is>
          <t>사용자 ID</t>
        </is>
      </c>
      <c r="E44" s="15" t="inlineStr">
        <is>
          <t>bigint</t>
        </is>
      </c>
      <c r="F44" s="16" t="inlineStr">
        <is>
          <t>FK</t>
        </is>
      </c>
      <c r="G44" s="15" t="inlineStr">
        <is>
          <t>users.id</t>
        </is>
      </c>
      <c r="H44" s="16" t="inlineStr">
        <is>
          <t>Y</t>
        </is>
      </c>
      <c r="I44" s="15" t="inlineStr"/>
      <c r="J44" s="15" t="inlineStr"/>
      <c r="K44" s="15" t="inlineStr">
        <is>
          <t>RG-04 · R-9</t>
        </is>
      </c>
      <c r="L44" s="16" t="inlineStr">
        <is>
          <t>기존</t>
        </is>
      </c>
      <c r="M44" s="16" t="inlineStr">
        <is>
          <t>v0.1</t>
        </is>
      </c>
      <c r="N44" s="15" t="inlineStr"/>
    </row>
    <row r="45">
      <c r="A45" s="20" t="inlineStr">
        <is>
          <t>feedbacks</t>
        </is>
      </c>
      <c r="B45" s="21" t="inlineStr">
        <is>
          <t>안내문 피드백</t>
        </is>
      </c>
      <c r="C45" s="21" t="inlineStr">
        <is>
          <t>rating</t>
        </is>
      </c>
      <c r="D45" s="21" t="inlineStr">
        <is>
          <t>평가</t>
        </is>
      </c>
      <c r="E45" s="21" t="inlineStr">
        <is>
          <t>smallint</t>
        </is>
      </c>
      <c r="F45" s="22" t="inlineStr"/>
      <c r="G45" s="21" t="inlineStr"/>
      <c r="H45" s="22" t="inlineStr">
        <is>
          <t>N</t>
        </is>
      </c>
      <c r="I45" s="21" t="inlineStr"/>
      <c r="J45" s="21" t="inlineStr">
        <is>
          <t>1 = 도움됐어요 / -1 = 도움 안 됐어요</t>
        </is>
      </c>
      <c r="K45" s="21" t="inlineStr">
        <is>
          <t>RG-04 · R-9</t>
        </is>
      </c>
      <c r="L45" s="22" t="inlineStr">
        <is>
          <t>수정</t>
        </is>
      </c>
      <c r="M45" s="22" t="inlineStr">
        <is>
          <t>v1.0</t>
        </is>
      </c>
      <c r="N45" s="21" t="inlineStr"/>
    </row>
    <row r="46">
      <c r="A46" s="19" t="inlineStr">
        <is>
          <t>feedbacks</t>
        </is>
      </c>
      <c r="B46" s="15" t="inlineStr">
        <is>
          <t>안내문 피드백</t>
        </is>
      </c>
      <c r="C46" s="15" t="inlineStr">
        <is>
          <t>comment</t>
        </is>
      </c>
      <c r="D46" s="15" t="inlineStr">
        <is>
          <t>의견</t>
        </is>
      </c>
      <c r="E46" s="15" t="inlineStr">
        <is>
          <t>text</t>
        </is>
      </c>
      <c r="F46" s="16" t="inlineStr"/>
      <c r="G46" s="15" t="inlineStr"/>
      <c r="H46" s="16" t="inlineStr">
        <is>
          <t>N</t>
        </is>
      </c>
      <c r="I46" s="15" t="inlineStr"/>
      <c r="J46" s="15" t="inlineStr"/>
      <c r="K46" s="15" t="inlineStr">
        <is>
          <t>RG-04 · R-9</t>
        </is>
      </c>
      <c r="L46" s="16" t="inlineStr">
        <is>
          <t>기존</t>
        </is>
      </c>
      <c r="M46" s="16" t="inlineStr">
        <is>
          <t>v0.1</t>
        </is>
      </c>
      <c r="N46" s="15" t="inlineStr"/>
    </row>
    <row r="47">
      <c r="A47" s="19" t="inlineStr">
        <is>
          <t>feedbacks</t>
        </is>
      </c>
      <c r="B47" s="15" t="inlineStr">
        <is>
          <t>안내문 피드백</t>
        </is>
      </c>
      <c r="C47" s="15" t="inlineStr">
        <is>
          <t>created_at</t>
        </is>
      </c>
      <c r="D47" s="15" t="inlineStr">
        <is>
          <t>생성 일시</t>
        </is>
      </c>
      <c r="E47" s="15" t="inlineStr">
        <is>
          <t>timestamp</t>
        </is>
      </c>
      <c r="F47" s="16" t="inlineStr"/>
      <c r="G47" s="15" t="inlineStr"/>
      <c r="H47" s="16" t="inlineStr">
        <is>
          <t>N</t>
        </is>
      </c>
      <c r="I47" s="15" t="inlineStr">
        <is>
          <t>now()</t>
        </is>
      </c>
      <c r="J47" s="15" t="inlineStr"/>
      <c r="K47" s="15" t="inlineStr">
        <is>
          <t>RG-04 · R-9</t>
        </is>
      </c>
      <c r="L47" s="16" t="inlineStr">
        <is>
          <t>기존</t>
        </is>
      </c>
      <c r="M47" s="16" t="inlineStr">
        <is>
          <t>v0.1</t>
        </is>
      </c>
      <c r="N47" s="15" t="inlineStr"/>
    </row>
  </sheetData>
  <autoFilter ref="A4:N47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11" t="inlineStr">
        <is>
          <t>ERD v1.0 · 챗봇</t>
        </is>
      </c>
    </row>
    <row r="2">
      <c r="A2" s="12" t="inlineStr">
        <is>
          <t>수인 · 대화 · 메시지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chat_sessions</t>
        </is>
      </c>
      <c r="B5" s="15" t="inlineStr">
        <is>
          <t>대화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CB-01~03 · H-1 · H-4 · H-5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날짜별 여러 대화 구조로 갈지 팀 확정 필요 (REQ-077)</t>
        </is>
      </c>
    </row>
    <row r="6">
      <c r="A6" s="19" t="inlineStr">
        <is>
          <t>chat_sessions</t>
        </is>
      </c>
      <c r="B6" s="15" t="inlineStr">
        <is>
          <t>대화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inlineStr"/>
      <c r="J6" s="15" t="inlineStr"/>
      <c r="K6" s="15" t="inlineStr">
        <is>
          <t>CB-01~03 · H-1 · H-4 · H-5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20" t="inlineStr">
        <is>
          <t>chat_sessions</t>
        </is>
      </c>
      <c r="B7" s="21" t="inlineStr">
        <is>
          <t>대화</t>
        </is>
      </c>
      <c r="C7" s="21" t="inlineStr">
        <is>
          <t>analysis_id</t>
        </is>
      </c>
      <c r="D7" s="21" t="inlineStr">
        <is>
          <t>분석 ID</t>
        </is>
      </c>
      <c r="E7" s="21" t="inlineStr">
        <is>
          <t>bigint</t>
        </is>
      </c>
      <c r="F7" s="22" t="inlineStr">
        <is>
          <t>FK</t>
        </is>
      </c>
      <c r="G7" s="21" t="inlineStr">
        <is>
          <t>analyses.id</t>
        </is>
      </c>
      <c r="H7" s="22" t="inlineStr">
        <is>
          <t>N</t>
        </is>
      </c>
      <c r="I7" s="21" t="inlineStr"/>
      <c r="J7" s="21" t="inlineStr">
        <is>
          <t>null이면 일반 질문 모드 (분석 전)</t>
        </is>
      </c>
      <c r="K7" s="21" t="inlineStr">
        <is>
          <t>CB-01~03 · H-1 · H-4 · H-5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3" t="inlineStr">
        <is>
          <t>chat_sessions</t>
        </is>
      </c>
      <c r="B8" s="24" t="inlineStr">
        <is>
          <t>대화</t>
        </is>
      </c>
      <c r="C8" s="24" t="inlineStr">
        <is>
          <t>context_type</t>
        </is>
      </c>
      <c r="D8" s="24" t="inlineStr">
        <is>
          <t>시작 맥락 종류</t>
        </is>
      </c>
      <c r="E8" s="24" t="inlineStr">
        <is>
          <t>varchar(20)</t>
        </is>
      </c>
      <c r="F8" s="25" t="inlineStr"/>
      <c r="G8" s="24" t="inlineStr"/>
      <c r="H8" s="25" t="inlineStr">
        <is>
          <t>N</t>
        </is>
      </c>
      <c r="I8" s="24" t="inlineStr"/>
      <c r="J8" s="24" t="inlineStr">
        <is>
          <t>warning / drug (CB-01-E2에서 무엇을 알고 시작했는지)</t>
        </is>
      </c>
      <c r="K8" s="24" t="inlineStr">
        <is>
          <t>CB-01~03 · H-1 · H-4 · H-5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chat_sessions</t>
        </is>
      </c>
      <c r="B9" s="24" t="inlineStr">
        <is>
          <t>대화</t>
        </is>
      </c>
      <c r="C9" s="24" t="inlineStr">
        <is>
          <t>context_ref</t>
        </is>
      </c>
      <c r="D9" s="24" t="inlineStr">
        <is>
          <t>시작 맥락 ID</t>
        </is>
      </c>
      <c r="E9" s="24" t="inlineStr">
        <is>
          <t>bigint</t>
        </is>
      </c>
      <c r="F9" s="25" t="inlineStr"/>
      <c r="G9" s="24" t="inlineStr"/>
      <c r="H9" s="25" t="inlineStr">
        <is>
          <t>N</t>
        </is>
      </c>
      <c r="I9" s="24" t="inlineStr"/>
      <c r="J9" s="24" t="inlineStr">
        <is>
          <t>analysis_warnings.id 또는 prescription_items.id</t>
        </is>
      </c>
      <c r="K9" s="24" t="inlineStr">
        <is>
          <t>CB-01~03 · H-1 · H-4 · H-5</t>
        </is>
      </c>
      <c r="L9" s="25" t="inlineStr">
        <is>
          <t>신규</t>
        </is>
      </c>
      <c r="M9" s="25" t="inlineStr">
        <is>
          <t>v1.0</t>
        </is>
      </c>
      <c r="N9" s="24" t="inlineStr"/>
    </row>
    <row r="10">
      <c r="A10" s="23" t="inlineStr">
        <is>
          <t>chat_sessions</t>
        </is>
      </c>
      <c r="B10" s="24" t="inlineStr">
        <is>
          <t>대화</t>
        </is>
      </c>
      <c r="C10" s="24" t="inlineStr">
        <is>
          <t>title</t>
        </is>
      </c>
      <c r="D10" s="24" t="inlineStr">
        <is>
          <t>대화 제목</t>
        </is>
      </c>
      <c r="E10" s="24" t="inlineStr">
        <is>
          <t>varchar(100)</t>
        </is>
      </c>
      <c r="F10" s="25" t="inlineStr"/>
      <c r="G10" s="24" t="inlineStr"/>
      <c r="H10" s="25" t="inlineStr">
        <is>
          <t>N</t>
        </is>
      </c>
      <c r="I10" s="24" t="inlineStr"/>
      <c r="J10" s="24" t="inlineStr">
        <is>
          <t>🟡 수인 확인 · 대화 제목 자동 생성 · 수정 (CB-03)</t>
        </is>
      </c>
      <c r="K10" s="24" t="inlineStr">
        <is>
          <t>CB-01~03 · H-1 · H-4 · H-5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chat_sessions</t>
        </is>
      </c>
      <c r="B11" s="24" t="inlineStr">
        <is>
          <t>대화</t>
        </is>
      </c>
      <c r="C11" s="24" t="inlineStr">
        <is>
          <t>summary</t>
        </is>
      </c>
      <c r="D11" s="24" t="inlineStr">
        <is>
          <t>대화 요약</t>
        </is>
      </c>
      <c r="E11" s="24" t="inlineStr">
        <is>
          <t>text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>
        <is>
          <t>🟡 수인 확인 · 오래된 대화 요약 (맥락 압축)</t>
        </is>
      </c>
      <c r="K11" s="24" t="inlineStr">
        <is>
          <t>CB-01~03 · H-1 · H-4 · H-5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19" t="inlineStr">
        <is>
          <t>chat_sessions</t>
        </is>
      </c>
      <c r="B12" s="15" t="inlineStr">
        <is>
          <t>대화</t>
        </is>
      </c>
      <c r="C12" s="15" t="inlineStr">
        <is>
          <t>created_at</t>
        </is>
      </c>
      <c r="D12" s="15" t="inlineStr">
        <is>
          <t>생성 일시</t>
        </is>
      </c>
      <c r="E12" s="15" t="inlineStr">
        <is>
          <t>timestamp</t>
        </is>
      </c>
      <c r="F12" s="16" t="inlineStr"/>
      <c r="G12" s="15" t="inlineStr"/>
      <c r="H12" s="16" t="inlineStr">
        <is>
          <t>N</t>
        </is>
      </c>
      <c r="I12" s="15" t="inlineStr">
        <is>
          <t>now()</t>
        </is>
      </c>
      <c r="J12" s="15" t="inlineStr"/>
      <c r="K12" s="15" t="inlineStr">
        <is>
          <t>CB-01~03 · H-1 · H-4 · H-5</t>
        </is>
      </c>
      <c r="L12" s="16" t="inlineStr">
        <is>
          <t>기존</t>
        </is>
      </c>
      <c r="M12" s="16" t="inlineStr">
        <is>
          <t>v0.1</t>
        </is>
      </c>
      <c r="N12" s="15" t="inlineStr"/>
    </row>
    <row r="13">
      <c r="A13" s="23" t="inlineStr">
        <is>
          <t>chat_sessions</t>
        </is>
      </c>
      <c r="B13" s="24" t="inlineStr">
        <is>
          <t>대화</t>
        </is>
      </c>
      <c r="C13" s="24" t="inlineStr">
        <is>
          <t>updated_at</t>
        </is>
      </c>
      <c r="D13" s="24" t="inlineStr">
        <is>
          <t>수정 일시</t>
        </is>
      </c>
      <c r="E13" s="24" t="inlineStr">
        <is>
          <t>timestamp</t>
        </is>
      </c>
      <c r="F13" s="25" t="inlineStr"/>
      <c r="G13" s="24" t="inlineStr"/>
      <c r="H13" s="25" t="inlineStr">
        <is>
          <t>N</t>
        </is>
      </c>
      <c r="I13" s="24" t="inlineStr"/>
      <c r="J13" s="24" t="inlineStr"/>
      <c r="K13" s="24" t="inlineStr">
        <is>
          <t>CB-01~03 · H-1 · H-4 · H-5</t>
        </is>
      </c>
      <c r="L13" s="25" t="inlineStr">
        <is>
          <t>신규</t>
        </is>
      </c>
      <c r="M13" s="25" t="inlineStr">
        <is>
          <t>v1.0</t>
        </is>
      </c>
      <c r="N13" s="24" t="inlineStr"/>
    </row>
    <row r="14">
      <c r="A14" s="19" t="inlineStr">
        <is>
          <t>chat_messages</t>
        </is>
      </c>
      <c r="B14" s="15" t="inlineStr">
        <is>
          <t>대화 메시지</t>
        </is>
      </c>
      <c r="C14" s="15" t="inlineStr">
        <is>
          <t>id</t>
        </is>
      </c>
      <c r="D14" s="15" t="inlineStr">
        <is>
          <t>ID</t>
        </is>
      </c>
      <c r="E14" s="15" t="inlineStr">
        <is>
          <t>bigint</t>
        </is>
      </c>
      <c r="F14" s="16" t="inlineStr">
        <is>
          <t>PK</t>
        </is>
      </c>
      <c r="G14" s="15" t="inlineStr"/>
      <c r="H14" s="16" t="inlineStr">
        <is>
          <t>Y</t>
        </is>
      </c>
      <c r="I14" s="15" t="inlineStr"/>
      <c r="J14" s="15" t="inlineStr"/>
      <c r="K14" s="15" t="inlineStr">
        <is>
          <t>CB-01 · H-2 · H-3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19" t="inlineStr">
        <is>
          <t>chat_messages</t>
        </is>
      </c>
      <c r="B15" s="15" t="inlineStr">
        <is>
          <t>대화 메시지</t>
        </is>
      </c>
      <c r="C15" s="15" t="inlineStr">
        <is>
          <t>session_id</t>
        </is>
      </c>
      <c r="D15" s="15" t="inlineStr">
        <is>
          <t>대화 ID</t>
        </is>
      </c>
      <c r="E15" s="15" t="inlineStr">
        <is>
          <t>bigint</t>
        </is>
      </c>
      <c r="F15" s="16" t="inlineStr">
        <is>
          <t>FK</t>
        </is>
      </c>
      <c r="G15" s="15" t="inlineStr">
        <is>
          <t>chat_sessions.id</t>
        </is>
      </c>
      <c r="H15" s="16" t="inlineStr">
        <is>
          <t>Y</t>
        </is>
      </c>
      <c r="I15" s="15" t="inlineStr"/>
      <c r="J15" s="15" t="inlineStr"/>
      <c r="K15" s="15" t="inlineStr">
        <is>
          <t>CB-01 · H-2 · H-3</t>
        </is>
      </c>
      <c r="L15" s="16" t="inlineStr">
        <is>
          <t>기존</t>
        </is>
      </c>
      <c r="M15" s="16" t="inlineStr">
        <is>
          <t>v0.1</t>
        </is>
      </c>
      <c r="N15" s="15" t="inlineStr"/>
    </row>
    <row r="16">
      <c r="A16" s="19" t="inlineStr">
        <is>
          <t>chat_messages</t>
        </is>
      </c>
      <c r="B16" s="15" t="inlineStr">
        <is>
          <t>대화 메시지</t>
        </is>
      </c>
      <c r="C16" s="15" t="inlineStr">
        <is>
          <t>role</t>
        </is>
      </c>
      <c r="D16" s="15" t="inlineStr">
        <is>
          <t>발화자</t>
        </is>
      </c>
      <c r="E16" s="15" t="inlineStr">
        <is>
          <t>varchar(10)</t>
        </is>
      </c>
      <c r="F16" s="16" t="inlineStr"/>
      <c r="G16" s="15" t="inlineStr"/>
      <c r="H16" s="16" t="inlineStr">
        <is>
          <t>N</t>
        </is>
      </c>
      <c r="I16" s="15" t="inlineStr"/>
      <c r="J16" s="15" t="inlineStr">
        <is>
          <t>user / assistant</t>
        </is>
      </c>
      <c r="K16" s="15" t="inlineStr">
        <is>
          <t>CB-01 · H-2 · H-3</t>
        </is>
      </c>
      <c r="L16" s="16" t="inlineStr">
        <is>
          <t>기존</t>
        </is>
      </c>
      <c r="M16" s="16" t="inlineStr">
        <is>
          <t>v0.1</t>
        </is>
      </c>
      <c r="N16" s="15" t="inlineStr"/>
    </row>
    <row r="17">
      <c r="A17" s="19" t="inlineStr">
        <is>
          <t>chat_messages</t>
        </is>
      </c>
      <c r="B17" s="15" t="inlineStr">
        <is>
          <t>대화 메시지</t>
        </is>
      </c>
      <c r="C17" s="15" t="inlineStr">
        <is>
          <t>content</t>
        </is>
      </c>
      <c r="D17" s="15" t="inlineStr">
        <is>
          <t>메시지 내용</t>
        </is>
      </c>
      <c r="E17" s="15" t="inlineStr">
        <is>
          <t>text</t>
        </is>
      </c>
      <c r="F17" s="16" t="inlineStr"/>
      <c r="G17" s="15" t="inlineStr"/>
      <c r="H17" s="16" t="inlineStr">
        <is>
          <t>N</t>
        </is>
      </c>
      <c r="I17" s="15" t="inlineStr"/>
      <c r="J17" s="15" t="inlineStr"/>
      <c r="K17" s="15" t="inlineStr">
        <is>
          <t>CB-01 · H-2 · H-3</t>
        </is>
      </c>
      <c r="L17" s="16" t="inlineStr">
        <is>
          <t>기존</t>
        </is>
      </c>
      <c r="M17" s="16" t="inlineStr">
        <is>
          <t>v0.1</t>
        </is>
      </c>
      <c r="N17" s="15" t="inlineStr"/>
    </row>
    <row r="18">
      <c r="A18" s="23" t="inlineStr">
        <is>
          <t>chat_messages</t>
        </is>
      </c>
      <c r="B18" s="24" t="inlineStr">
        <is>
          <t>대화 메시지</t>
        </is>
      </c>
      <c r="C18" s="24" t="inlineStr">
        <is>
          <t>answer_type</t>
        </is>
      </c>
      <c r="D18" s="24" t="inlineStr">
        <is>
          <t>답변 종류</t>
        </is>
      </c>
      <c r="E18" s="24" t="inlineStr">
        <is>
          <t>varchar(20)</t>
        </is>
      </c>
      <c r="F18" s="25" t="inlineStr"/>
      <c r="G18" s="24" t="inlineStr"/>
      <c r="H18" s="25" t="inlineStr">
        <is>
          <t>N</t>
        </is>
      </c>
      <c r="I18" s="24" t="inlineStr"/>
      <c r="J18" s="24" t="inlineStr">
        <is>
          <t>answered / refused_medical(의료진 상담 필요) / no_evidence(확인이 어렵습니다)</t>
        </is>
      </c>
      <c r="K18" s="24" t="inlineStr">
        <is>
          <t>CB-01 · H-2 · H-3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chat_messages</t>
        </is>
      </c>
      <c r="B19" s="24" t="inlineStr">
        <is>
          <t>대화 메시지</t>
        </is>
      </c>
      <c r="C19" s="24" t="inlineStr">
        <is>
          <t>sources</t>
        </is>
      </c>
      <c r="D19" s="24" t="inlineStr">
        <is>
          <t>답변 출처</t>
        </is>
      </c>
      <c r="E19" s="24" t="inlineStr">
        <is>
          <t>jsonb</t>
        </is>
      </c>
      <c r="F19" s="25" t="inlineStr"/>
      <c r="G19" s="24" t="inlineStr"/>
      <c r="H19" s="25" t="inlineStr">
        <is>
          <t>N</t>
        </is>
      </c>
      <c r="I19" s="24" t="inlineStr"/>
      <c r="J19" s="24" t="inlineStr">
        <is>
          <t>답변 근거 출처</t>
        </is>
      </c>
      <c r="K19" s="24" t="inlineStr">
        <is>
          <t>CB-01 · H-2 · H-3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19" t="inlineStr">
        <is>
          <t>chat_messages</t>
        </is>
      </c>
      <c r="B20" s="15" t="inlineStr">
        <is>
          <t>대화 메시지</t>
        </is>
      </c>
      <c r="C20" s="15" t="inlineStr">
        <is>
          <t>created_at</t>
        </is>
      </c>
      <c r="D20" s="15" t="inlineStr">
        <is>
          <t>생성 일시</t>
        </is>
      </c>
      <c r="E20" s="15" t="inlineStr">
        <is>
          <t>timestamp</t>
        </is>
      </c>
      <c r="F20" s="16" t="inlineStr"/>
      <c r="G20" s="15" t="inlineStr"/>
      <c r="H20" s="16" t="inlineStr">
        <is>
          <t>N</t>
        </is>
      </c>
      <c r="I20" s="15" t="inlineStr">
        <is>
          <t>now()</t>
        </is>
      </c>
      <c r="J20" s="15" t="inlineStr"/>
      <c r="K20" s="15" t="inlineStr">
        <is>
          <t>CB-01 · H-2 · H-3</t>
        </is>
      </c>
      <c r="L20" s="16" t="inlineStr">
        <is>
          <t>기존</t>
        </is>
      </c>
      <c r="M20" s="16" t="inlineStr">
        <is>
          <t>v0.1</t>
        </is>
      </c>
      <c r="N20" s="15" t="inlineStr"/>
    </row>
  </sheetData>
  <autoFilter ref="A4:N20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11" t="inlineStr">
        <is>
          <t>ERD v1.0 · 실천·보상</t>
        </is>
      </c>
    </row>
    <row r="2">
      <c r="A2" s="12" t="inlineStr">
        <is>
          <t>성규 · 추천 · 목표 · 기록 · 포인트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3" t="inlineStr">
        <is>
          <t>recommendations</t>
        </is>
      </c>
      <c r="B5" s="24" t="inlineStr">
        <is>
          <t>생활습관 추천</t>
        </is>
      </c>
      <c r="C5" s="24" t="inlineStr">
        <is>
          <t>id</t>
        </is>
      </c>
      <c r="D5" s="24" t="inlineStr">
        <is>
          <t>ID</t>
        </is>
      </c>
      <c r="E5" s="24" t="inlineStr">
        <is>
          <t>bigint</t>
        </is>
      </c>
      <c r="F5" s="25" t="inlineStr">
        <is>
          <t>PK</t>
        </is>
      </c>
      <c r="G5" s="24" t="inlineStr"/>
      <c r="H5" s="25" t="inlineStr">
        <is>
          <t>Y</t>
        </is>
      </c>
      <c r="I5" s="24" t="inlineStr"/>
      <c r="J5" s="24" t="inlineStr"/>
      <c r="K5" s="24" t="inlineStr">
        <is>
          <t>RW-01 · RG-05 · P-1</t>
        </is>
      </c>
      <c r="L5" s="25" t="inlineStr">
        <is>
          <t>신규</t>
        </is>
      </c>
      <c r="M5" s="25" t="inlineStr">
        <is>
          <t>v1.0</t>
        </is>
      </c>
      <c r="N5" s="24" t="inlineStr">
        <is>
          <t>AI 추천만으로는 목표가 되지 않음 — 사용자가 골라야 habit_goals 생성 (REQ-110)</t>
        </is>
      </c>
    </row>
    <row r="6">
      <c r="A6" s="23" t="inlineStr">
        <is>
          <t>recommendations</t>
        </is>
      </c>
      <c r="B6" s="24" t="inlineStr">
        <is>
          <t>생활습관 추천</t>
        </is>
      </c>
      <c r="C6" s="24" t="inlineStr">
        <is>
          <t>analysis_id</t>
        </is>
      </c>
      <c r="D6" s="24" t="inlineStr">
        <is>
          <t>분석 ID</t>
        </is>
      </c>
      <c r="E6" s="24" t="inlineStr">
        <is>
          <t>bigint</t>
        </is>
      </c>
      <c r="F6" s="25" t="inlineStr">
        <is>
          <t>FK</t>
        </is>
      </c>
      <c r="G6" s="24" t="inlineStr">
        <is>
          <t>analyses.id</t>
        </is>
      </c>
      <c r="H6" s="25" t="inlineStr">
        <is>
          <t>Y</t>
        </is>
      </c>
      <c r="I6" s="24" t="inlineStr"/>
      <c r="J6" s="24" t="inlineStr"/>
      <c r="K6" s="24" t="inlineStr">
        <is>
          <t>RW-01 · RG-05 · P-1</t>
        </is>
      </c>
      <c r="L6" s="25" t="inlineStr">
        <is>
          <t>신규</t>
        </is>
      </c>
      <c r="M6" s="25" t="inlineStr">
        <is>
          <t>v1.0</t>
        </is>
      </c>
      <c r="N6" s="24" t="inlineStr"/>
    </row>
    <row r="7">
      <c r="A7" s="23" t="inlineStr">
        <is>
          <t>recommendations</t>
        </is>
      </c>
      <c r="B7" s="24" t="inlineStr">
        <is>
          <t>생활습관 추천</t>
        </is>
      </c>
      <c r="C7" s="24" t="inlineStr">
        <is>
          <t>guide_id</t>
        </is>
      </c>
      <c r="D7" s="24" t="inlineStr">
        <is>
          <t>생활습관 팩트 ID</t>
        </is>
      </c>
      <c r="E7" s="24" t="inlineStr">
        <is>
          <t>bigint</t>
        </is>
      </c>
      <c r="F7" s="25" t="inlineStr">
        <is>
          <t>FK</t>
        </is>
      </c>
      <c r="G7" s="24" t="inlineStr">
        <is>
          <t>lifestyle_guides.id</t>
        </is>
      </c>
      <c r="H7" s="25" t="inlineStr">
        <is>
          <t>N</t>
        </is>
      </c>
      <c r="I7" s="24" t="inlineStr"/>
      <c r="J7" s="24" t="inlineStr">
        <is>
          <t>질환 기준 추천일 때</t>
        </is>
      </c>
      <c r="K7" s="24" t="inlineStr">
        <is>
          <t>RW-01 · RG-05 · P-1</t>
        </is>
      </c>
      <c r="L7" s="25" t="inlineStr">
        <is>
          <t>신규</t>
        </is>
      </c>
      <c r="M7" s="25" t="inlineStr">
        <is>
          <t>v1.0</t>
        </is>
      </c>
      <c r="N7" s="24" t="inlineStr"/>
    </row>
    <row r="8">
      <c r="A8" s="23" t="inlineStr">
        <is>
          <t>recommendations</t>
        </is>
      </c>
      <c r="B8" s="24" t="inlineStr">
        <is>
          <t>생활습관 추천</t>
        </is>
      </c>
      <c r="C8" s="24" t="inlineStr">
        <is>
          <t>medication_link_id</t>
        </is>
      </c>
      <c r="D8" s="24" t="inlineStr">
        <is>
          <t>약-생활수칙 연결 ID</t>
        </is>
      </c>
      <c r="E8" s="24" t="inlineStr">
        <is>
          <t>bigint</t>
        </is>
      </c>
      <c r="F8" s="25" t="inlineStr">
        <is>
          <t>FK</t>
        </is>
      </c>
      <c r="G8" s="24" t="inlineStr">
        <is>
          <t>lifestyle_medication_links.id</t>
        </is>
      </c>
      <c r="H8" s="25" t="inlineStr">
        <is>
          <t>N</t>
        </is>
      </c>
      <c r="I8" s="24" t="inlineStr"/>
      <c r="J8" s="24" t="inlineStr">
        <is>
          <t>약 기준 추천일 때</t>
        </is>
      </c>
      <c r="K8" s="24" t="inlineStr">
        <is>
          <t>RW-01 · RG-05 · P-1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recommendations</t>
        </is>
      </c>
      <c r="B9" s="24" t="inlineStr">
        <is>
          <t>생활습관 추천</t>
        </is>
      </c>
      <c r="C9" s="24" t="inlineStr">
        <is>
          <t>title</t>
        </is>
      </c>
      <c r="D9" s="24" t="inlineStr">
        <is>
          <t>제목</t>
        </is>
      </c>
      <c r="E9" s="24" t="inlineStr">
        <is>
          <t>varchar(100)</t>
        </is>
      </c>
      <c r="F9" s="25" t="inlineStr"/>
      <c r="G9" s="24" t="inlineStr"/>
      <c r="H9" s="25" t="inlineStr">
        <is>
          <t>Y</t>
        </is>
      </c>
      <c r="I9" s="24" t="inlineStr"/>
      <c r="J9" s="24" t="inlineStr">
        <is>
          <t>국물 남기기 등</t>
        </is>
      </c>
      <c r="K9" s="24" t="inlineStr">
        <is>
          <t>RW-01 · RG-05 · P-1</t>
        </is>
      </c>
      <c r="L9" s="25" t="inlineStr">
        <is>
          <t>신규</t>
        </is>
      </c>
      <c r="M9" s="25" t="inlineStr">
        <is>
          <t>v1.0</t>
        </is>
      </c>
      <c r="N9" s="24" t="inlineStr"/>
    </row>
    <row r="10">
      <c r="A10" s="23" t="inlineStr">
        <is>
          <t>recommendations</t>
        </is>
      </c>
      <c r="B10" s="24" t="inlineStr">
        <is>
          <t>생활습관 추천</t>
        </is>
      </c>
      <c r="C10" s="24" t="inlineStr">
        <is>
          <t>reason_label</t>
        </is>
      </c>
      <c r="D10" s="24" t="inlineStr">
        <is>
          <t>추천 이유 라벨</t>
        </is>
      </c>
      <c r="E10" s="24" t="inlineStr">
        <is>
          <t>varchar(50)</t>
        </is>
      </c>
      <c r="F10" s="25" t="inlineStr"/>
      <c r="G10" s="24" t="inlineStr"/>
      <c r="H10" s="25" t="inlineStr">
        <is>
          <t>N</t>
        </is>
      </c>
      <c r="I10" s="24" t="inlineStr"/>
      <c r="J10" s="24" t="inlineStr">
        <is>
          <t>고혈압 / 약과 함께 등 (화면 라벨)</t>
        </is>
      </c>
      <c r="K10" s="24" t="inlineStr">
        <is>
          <t>RW-01 · RG-05 · P-1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recommendations</t>
        </is>
      </c>
      <c r="B11" s="24" t="inlineStr">
        <is>
          <t>생활습관 추천</t>
        </is>
      </c>
      <c r="C11" s="24" t="inlineStr">
        <is>
          <t>goal_type</t>
        </is>
      </c>
      <c r="D11" s="24" t="inlineStr">
        <is>
          <t>목표 유형</t>
        </is>
      </c>
      <c r="E11" s="24" t="inlineStr">
        <is>
          <t>varchar(20)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>
        <is>
          <t>check / quantity</t>
        </is>
      </c>
      <c r="K11" s="24" t="inlineStr">
        <is>
          <t>RW-01 · RG-05 · P-1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recommendations</t>
        </is>
      </c>
      <c r="B12" s="24" t="inlineStr">
        <is>
          <t>생활습관 추천</t>
        </is>
      </c>
      <c r="C12" s="24" t="inlineStr">
        <is>
          <t>target_value</t>
        </is>
      </c>
      <c r="D12" s="24" t="inlineStr">
        <is>
          <t>목표 수치</t>
        </is>
      </c>
      <c r="E12" s="24" t="inlineStr">
        <is>
          <t>decimal(10,2)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수량형 목표 (예: 30)</t>
        </is>
      </c>
      <c r="K12" s="24" t="inlineStr">
        <is>
          <t>RW-01 · RG-05 · P-1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23" t="inlineStr">
        <is>
          <t>recommendations</t>
        </is>
      </c>
      <c r="B13" s="24" t="inlineStr">
        <is>
          <t>생활습관 추천</t>
        </is>
      </c>
      <c r="C13" s="24" t="inlineStr">
        <is>
          <t>unit</t>
        </is>
      </c>
      <c r="D13" s="24" t="inlineStr">
        <is>
          <t>단위</t>
        </is>
      </c>
      <c r="E13" s="24" t="inlineStr">
        <is>
          <t>varchar(20)</t>
        </is>
      </c>
      <c r="F13" s="25" t="inlineStr"/>
      <c r="G13" s="24" t="inlineStr"/>
      <c r="H13" s="25" t="inlineStr">
        <is>
          <t>N</t>
        </is>
      </c>
      <c r="I13" s="24" t="inlineStr"/>
      <c r="J13" s="24" t="inlineStr">
        <is>
          <t>분 등</t>
        </is>
      </c>
      <c r="K13" s="24" t="inlineStr">
        <is>
          <t>RW-01 · RG-05 · P-1</t>
        </is>
      </c>
      <c r="L13" s="25" t="inlineStr">
        <is>
          <t>신규</t>
        </is>
      </c>
      <c r="M13" s="25" t="inlineStr">
        <is>
          <t>v1.0</t>
        </is>
      </c>
      <c r="N13" s="24" t="inlineStr"/>
    </row>
    <row r="14">
      <c r="A14" s="23" t="inlineStr">
        <is>
          <t>recommendations</t>
        </is>
      </c>
      <c r="B14" s="24" t="inlineStr">
        <is>
          <t>생활습관 추천</t>
        </is>
      </c>
      <c r="C14" s="24" t="inlineStr">
        <is>
          <t>rank</t>
        </is>
      </c>
      <c r="D14" s="24" t="inlineStr">
        <is>
          <t>순위</t>
        </is>
      </c>
      <c r="E14" s="24" t="inlineStr">
        <is>
          <t>smallint</t>
        </is>
      </c>
      <c r="F14" s="25" t="inlineStr"/>
      <c r="G14" s="24" t="inlineStr"/>
      <c r="H14" s="25" t="inlineStr">
        <is>
          <t>N</t>
        </is>
      </c>
      <c r="I14" s="24" t="inlineStr"/>
      <c r="J14" s="24" t="inlineStr"/>
      <c r="K14" s="24" t="inlineStr">
        <is>
          <t>RW-01 · RG-05 · P-1</t>
        </is>
      </c>
      <c r="L14" s="25" t="inlineStr">
        <is>
          <t>신규</t>
        </is>
      </c>
      <c r="M14" s="25" t="inlineStr">
        <is>
          <t>v1.0</t>
        </is>
      </c>
      <c r="N14" s="24" t="inlineStr"/>
    </row>
    <row r="15">
      <c r="A15" s="23" t="inlineStr">
        <is>
          <t>habit_goals</t>
        </is>
      </c>
      <c r="B15" s="24" t="inlineStr">
        <is>
          <t>실천 목표</t>
        </is>
      </c>
      <c r="C15" s="24" t="inlineStr">
        <is>
          <t>id</t>
        </is>
      </c>
      <c r="D15" s="24" t="inlineStr">
        <is>
          <t>ID</t>
        </is>
      </c>
      <c r="E15" s="24" t="inlineStr">
        <is>
          <t>bigint</t>
        </is>
      </c>
      <c r="F15" s="25" t="inlineStr">
        <is>
          <t>PK</t>
        </is>
      </c>
      <c r="G15" s="24" t="inlineStr"/>
      <c r="H15" s="25" t="inlineStr">
        <is>
          <t>Y</t>
        </is>
      </c>
      <c r="I15" s="24" t="inlineStr"/>
      <c r="J15" s="24" t="inlineStr"/>
      <c r="K15" s="24" t="inlineStr">
        <is>
          <t>RW-02 · P-2 · P-3</t>
        </is>
      </c>
      <c r="L15" s="25" t="inlineStr">
        <is>
          <t>신규</t>
        </is>
      </c>
      <c r="M15" s="25" t="inlineStr">
        <is>
          <t>v1.0</t>
        </is>
      </c>
      <c r="N15" s="24" t="inlineStr">
        <is>
          <t>최대 3개 활성 (REQ-111)</t>
        </is>
      </c>
    </row>
    <row r="16">
      <c r="A16" s="23" t="inlineStr">
        <is>
          <t>habit_goals</t>
        </is>
      </c>
      <c r="B16" s="24" t="inlineStr">
        <is>
          <t>실천 목표</t>
        </is>
      </c>
      <c r="C16" s="24" t="inlineStr">
        <is>
          <t>user_id</t>
        </is>
      </c>
      <c r="D16" s="24" t="inlineStr">
        <is>
          <t>사용자 ID</t>
        </is>
      </c>
      <c r="E16" s="24" t="inlineStr">
        <is>
          <t>bigint</t>
        </is>
      </c>
      <c r="F16" s="25" t="inlineStr">
        <is>
          <t>FK</t>
        </is>
      </c>
      <c r="G16" s="24" t="inlineStr">
        <is>
          <t>users.id</t>
        </is>
      </c>
      <c r="H16" s="25" t="inlineStr">
        <is>
          <t>Y</t>
        </is>
      </c>
      <c r="I16" s="24" t="inlineStr"/>
      <c r="J16" s="24" t="inlineStr"/>
      <c r="K16" s="24" t="inlineStr">
        <is>
          <t>RW-02 · P-2 · P-3</t>
        </is>
      </c>
      <c r="L16" s="25" t="inlineStr">
        <is>
          <t>신규</t>
        </is>
      </c>
      <c r="M16" s="25" t="inlineStr">
        <is>
          <t>v1.0</t>
        </is>
      </c>
      <c r="N16" s="24" t="inlineStr"/>
    </row>
    <row r="17">
      <c r="A17" s="23" t="inlineStr">
        <is>
          <t>habit_goals</t>
        </is>
      </c>
      <c r="B17" s="24" t="inlineStr">
        <is>
          <t>실천 목표</t>
        </is>
      </c>
      <c r="C17" s="24" t="inlineStr">
        <is>
          <t>recommendation_id</t>
        </is>
      </c>
      <c r="D17" s="24" t="inlineStr">
        <is>
          <t>추천 ID</t>
        </is>
      </c>
      <c r="E17" s="24" t="inlineStr">
        <is>
          <t>bigint</t>
        </is>
      </c>
      <c r="F17" s="25" t="inlineStr">
        <is>
          <t>FK</t>
        </is>
      </c>
      <c r="G17" s="24" t="inlineStr">
        <is>
          <t>recommendations.id</t>
        </is>
      </c>
      <c r="H17" s="25" t="inlineStr">
        <is>
          <t>N</t>
        </is>
      </c>
      <c r="I17" s="24" t="inlineStr"/>
      <c r="J17" s="24" t="inlineStr"/>
      <c r="K17" s="24" t="inlineStr">
        <is>
          <t>RW-02 · P-2 · P-3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habit_goals</t>
        </is>
      </c>
      <c r="B18" s="24" t="inlineStr">
        <is>
          <t>실천 목표</t>
        </is>
      </c>
      <c r="C18" s="24" t="inlineStr">
        <is>
          <t>title</t>
        </is>
      </c>
      <c r="D18" s="24" t="inlineStr">
        <is>
          <t>제목</t>
        </is>
      </c>
      <c r="E18" s="24" t="inlineStr">
        <is>
          <t>varchar(100)</t>
        </is>
      </c>
      <c r="F18" s="25" t="inlineStr"/>
      <c r="G18" s="24" t="inlineStr"/>
      <c r="H18" s="25" t="inlineStr">
        <is>
          <t>Y</t>
        </is>
      </c>
      <c r="I18" s="24" t="inlineStr"/>
      <c r="J18" s="24" t="inlineStr"/>
      <c r="K18" s="24" t="inlineStr">
        <is>
          <t>RW-02 · P-2 · P-3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habit_goals</t>
        </is>
      </c>
      <c r="B19" s="24" t="inlineStr">
        <is>
          <t>실천 목표</t>
        </is>
      </c>
      <c r="C19" s="24" t="inlineStr">
        <is>
          <t>goal_type</t>
        </is>
      </c>
      <c r="D19" s="24" t="inlineStr">
        <is>
          <t>목표 유형</t>
        </is>
      </c>
      <c r="E19" s="24" t="inlineStr">
        <is>
          <t>varchar(20)</t>
        </is>
      </c>
      <c r="F19" s="25" t="inlineStr"/>
      <c r="G19" s="24" t="inlineStr"/>
      <c r="H19" s="25" t="inlineStr">
        <is>
          <t>Y</t>
        </is>
      </c>
      <c r="I19" s="24" t="inlineStr"/>
      <c r="J19" s="24" t="inlineStr">
        <is>
          <t>check / quantity</t>
        </is>
      </c>
      <c r="K19" s="24" t="inlineStr">
        <is>
          <t>RW-02 · P-2 · P-3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habit_goals</t>
        </is>
      </c>
      <c r="B20" s="24" t="inlineStr">
        <is>
          <t>실천 목표</t>
        </is>
      </c>
      <c r="C20" s="24" t="inlineStr">
        <is>
          <t>target_value</t>
        </is>
      </c>
      <c r="D20" s="24" t="inlineStr">
        <is>
          <t>목표 수치</t>
        </is>
      </c>
      <c r="E20" s="24" t="inlineStr">
        <is>
          <t>decimal(10,2)</t>
        </is>
      </c>
      <c r="F20" s="25" t="inlineStr"/>
      <c r="G20" s="24" t="inlineStr"/>
      <c r="H20" s="25" t="inlineStr">
        <is>
          <t>N</t>
        </is>
      </c>
      <c r="I20" s="24" t="inlineStr"/>
      <c r="J20" s="24" t="inlineStr"/>
      <c r="K20" s="24" t="inlineStr">
        <is>
          <t>RW-02 · P-2 · P-3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habit_goals</t>
        </is>
      </c>
      <c r="B21" s="24" t="inlineStr">
        <is>
          <t>실천 목표</t>
        </is>
      </c>
      <c r="C21" s="24" t="inlineStr">
        <is>
          <t>unit</t>
        </is>
      </c>
      <c r="D21" s="24" t="inlineStr">
        <is>
          <t>단위</t>
        </is>
      </c>
      <c r="E21" s="24" t="inlineStr">
        <is>
          <t>varchar(20)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/>
      <c r="K21" s="24" t="inlineStr">
        <is>
          <t>RW-02 · P-2 · P-3</t>
        </is>
      </c>
      <c r="L21" s="25" t="inlineStr">
        <is>
          <t>신규</t>
        </is>
      </c>
      <c r="M21" s="25" t="inlineStr">
        <is>
          <t>v1.0</t>
        </is>
      </c>
      <c r="N21" s="24" t="inlineStr"/>
    </row>
    <row r="22">
      <c r="A22" s="23" t="inlineStr">
        <is>
          <t>habit_goals</t>
        </is>
      </c>
      <c r="B22" s="24" t="inlineStr">
        <is>
          <t>실천 목표</t>
        </is>
      </c>
      <c r="C22" s="24" t="inlineStr">
        <is>
          <t>start_date</t>
        </is>
      </c>
      <c r="D22" s="24" t="inlineStr">
        <is>
          <t>시작일</t>
        </is>
      </c>
      <c r="E22" s="24" t="inlineStr">
        <is>
          <t>date</t>
        </is>
      </c>
      <c r="F22" s="25" t="inlineStr"/>
      <c r="G22" s="24" t="inlineStr"/>
      <c r="H22" s="25" t="inlineStr">
        <is>
          <t>Y</t>
        </is>
      </c>
      <c r="I22" s="24" t="inlineStr"/>
      <c r="J22" s="24" t="inlineStr"/>
      <c r="K22" s="24" t="inlineStr">
        <is>
          <t>RW-02 · P-2 · P-3</t>
        </is>
      </c>
      <c r="L22" s="25" t="inlineStr">
        <is>
          <t>신규</t>
        </is>
      </c>
      <c r="M22" s="25" t="inlineStr">
        <is>
          <t>v1.0</t>
        </is>
      </c>
      <c r="N22" s="24" t="inlineStr"/>
    </row>
    <row r="23">
      <c r="A23" s="23" t="inlineStr">
        <is>
          <t>habit_goals</t>
        </is>
      </c>
      <c r="B23" s="24" t="inlineStr">
        <is>
          <t>실천 목표</t>
        </is>
      </c>
      <c r="C23" s="24" t="inlineStr">
        <is>
          <t>end_date</t>
        </is>
      </c>
      <c r="D23" s="24" t="inlineStr">
        <is>
          <t>종료일</t>
        </is>
      </c>
      <c r="E23" s="24" t="inlineStr">
        <is>
          <t>date</t>
        </is>
      </c>
      <c r="F23" s="25" t="inlineStr"/>
      <c r="G23" s="24" t="inlineStr"/>
      <c r="H23" s="25" t="inlineStr">
        <is>
          <t>N</t>
        </is>
      </c>
      <c r="I23" s="24" t="inlineStr"/>
      <c r="J23" s="24" t="inlineStr">
        <is>
          <t>주 단위 (REQ-116 재선택 흐름 🟡)</t>
        </is>
      </c>
      <c r="K23" s="24" t="inlineStr">
        <is>
          <t>RW-02 · P-2 · P-3</t>
        </is>
      </c>
      <c r="L23" s="25" t="inlineStr">
        <is>
          <t>신규</t>
        </is>
      </c>
      <c r="M23" s="25" t="inlineStr">
        <is>
          <t>v1.0</t>
        </is>
      </c>
      <c r="N23" s="24" t="inlineStr"/>
    </row>
    <row r="24">
      <c r="A24" s="23" t="inlineStr">
        <is>
          <t>habit_goals</t>
        </is>
      </c>
      <c r="B24" s="24" t="inlineStr">
        <is>
          <t>실천 목표</t>
        </is>
      </c>
      <c r="C24" s="24" t="inlineStr">
        <is>
          <t>status</t>
        </is>
      </c>
      <c r="D24" s="24" t="inlineStr">
        <is>
          <t>상태</t>
        </is>
      </c>
      <c r="E24" s="24" t="inlineStr">
        <is>
          <t>varchar(20)</t>
        </is>
      </c>
      <c r="F24" s="25" t="inlineStr"/>
      <c r="G24" s="24" t="inlineStr"/>
      <c r="H24" s="25" t="inlineStr">
        <is>
          <t>N</t>
        </is>
      </c>
      <c r="I24" s="24" t="inlineStr"/>
      <c r="J24" s="24" t="inlineStr">
        <is>
          <t>active / ended</t>
        </is>
      </c>
      <c r="K24" s="24" t="inlineStr">
        <is>
          <t>RW-02 · P-2 · P-3</t>
        </is>
      </c>
      <c r="L24" s="25" t="inlineStr">
        <is>
          <t>신규</t>
        </is>
      </c>
      <c r="M24" s="25" t="inlineStr">
        <is>
          <t>v1.0</t>
        </is>
      </c>
      <c r="N24" s="24" t="inlineStr"/>
    </row>
    <row r="25">
      <c r="A25" s="23" t="inlineStr">
        <is>
          <t>habit_goals</t>
        </is>
      </c>
      <c r="B25" s="24" t="inlineStr">
        <is>
          <t>실천 목표</t>
        </is>
      </c>
      <c r="C25" s="24" t="inlineStr">
        <is>
          <t>created_at</t>
        </is>
      </c>
      <c r="D25" s="24" t="inlineStr">
        <is>
          <t>생성 일시</t>
        </is>
      </c>
      <c r="E25" s="24" t="inlineStr">
        <is>
          <t>timestamp</t>
        </is>
      </c>
      <c r="F25" s="25" t="inlineStr"/>
      <c r="G25" s="24" t="inlineStr"/>
      <c r="H25" s="25" t="inlineStr">
        <is>
          <t>N</t>
        </is>
      </c>
      <c r="I25" s="24" t="inlineStr">
        <is>
          <t>now()</t>
        </is>
      </c>
      <c r="J25" s="24" t="inlineStr"/>
      <c r="K25" s="24" t="inlineStr">
        <is>
          <t>RW-02 · P-2 · P-3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23" t="inlineStr">
        <is>
          <t>habit_records</t>
        </is>
      </c>
      <c r="B26" s="24" t="inlineStr">
        <is>
          <t>실천 기록</t>
        </is>
      </c>
      <c r="C26" s="24" t="inlineStr">
        <is>
          <t>id</t>
        </is>
      </c>
      <c r="D26" s="24" t="inlineStr">
        <is>
          <t>ID</t>
        </is>
      </c>
      <c r="E26" s="24" t="inlineStr">
        <is>
          <t>bigint</t>
        </is>
      </c>
      <c r="F26" s="25" t="inlineStr">
        <is>
          <t>PK</t>
        </is>
      </c>
      <c r="G26" s="24" t="inlineStr"/>
      <c r="H26" s="25" t="inlineStr">
        <is>
          <t>Y</t>
        </is>
      </c>
      <c r="I26" s="24" t="inlineStr"/>
      <c r="J26" s="24" t="inlineStr"/>
      <c r="K26" s="24" t="inlineStr">
        <is>
          <t>RW-03 · RW-04 · P-4 · P-5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3" t="inlineStr">
        <is>
          <t>habit_records</t>
        </is>
      </c>
      <c r="B27" s="24" t="inlineStr">
        <is>
          <t>실천 기록</t>
        </is>
      </c>
      <c r="C27" s="24" t="inlineStr">
        <is>
          <t>goal_id</t>
        </is>
      </c>
      <c r="D27" s="24" t="inlineStr">
        <is>
          <t>목표 ID</t>
        </is>
      </c>
      <c r="E27" s="24" t="inlineStr">
        <is>
          <t>bigint</t>
        </is>
      </c>
      <c r="F27" s="25" t="inlineStr">
        <is>
          <t>FK</t>
        </is>
      </c>
      <c r="G27" s="24" t="inlineStr">
        <is>
          <t>habit_goals.id</t>
        </is>
      </c>
      <c r="H27" s="25" t="inlineStr">
        <is>
          <t>Y</t>
        </is>
      </c>
      <c r="I27" s="24" t="inlineStr"/>
      <c r="J27" s="24" t="inlineStr"/>
      <c r="K27" s="24" t="inlineStr">
        <is>
          <t>RW-03 · RW-04 · P-4 · P-5</t>
        </is>
      </c>
      <c r="L27" s="25" t="inlineStr">
        <is>
          <t>신규</t>
        </is>
      </c>
      <c r="M27" s="25" t="inlineStr">
        <is>
          <t>v1.0</t>
        </is>
      </c>
      <c r="N27" s="24" t="inlineStr"/>
    </row>
    <row r="28">
      <c r="A28" s="23" t="inlineStr">
        <is>
          <t>habit_records</t>
        </is>
      </c>
      <c r="B28" s="24" t="inlineStr">
        <is>
          <t>실천 기록</t>
        </is>
      </c>
      <c r="C28" s="24" t="inlineStr">
        <is>
          <t>record_date</t>
        </is>
      </c>
      <c r="D28" s="24" t="inlineStr">
        <is>
          <t>기록일</t>
        </is>
      </c>
      <c r="E28" s="24" t="inlineStr">
        <is>
          <t>date</t>
        </is>
      </c>
      <c r="F28" s="25" t="inlineStr"/>
      <c r="G28" s="24" t="inlineStr"/>
      <c r="H28" s="25" t="inlineStr">
        <is>
          <t>Y</t>
        </is>
      </c>
      <c r="I28" s="24" t="inlineStr"/>
      <c r="J28" s="24" t="inlineStr"/>
      <c r="K28" s="24" t="inlineStr">
        <is>
          <t>RW-03 · RW-04 · P-4 · P-5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3" t="inlineStr">
        <is>
          <t>habit_records</t>
        </is>
      </c>
      <c r="B29" s="24" t="inlineStr">
        <is>
          <t>실천 기록</t>
        </is>
      </c>
      <c r="C29" s="24" t="inlineStr">
        <is>
          <t>value</t>
        </is>
      </c>
      <c r="D29" s="24" t="inlineStr">
        <is>
          <t>기록 수치</t>
        </is>
      </c>
      <c r="E29" s="24" t="inlineStr">
        <is>
          <t>decimal(10,2)</t>
        </is>
      </c>
      <c r="F29" s="25" t="inlineStr"/>
      <c r="G29" s="24" t="inlineStr"/>
      <c r="H29" s="25" t="inlineStr">
        <is>
          <t>N</t>
        </is>
      </c>
      <c r="I29" s="24" t="inlineStr"/>
      <c r="J29" s="24" t="inlineStr">
        <is>
          <t>수량형 누적값</t>
        </is>
      </c>
      <c r="K29" s="24" t="inlineStr">
        <is>
          <t>RW-03 · RW-04 · P-4 · P-5</t>
        </is>
      </c>
      <c r="L29" s="25" t="inlineStr">
        <is>
          <t>신규</t>
        </is>
      </c>
      <c r="M29" s="25" t="inlineStr">
        <is>
          <t>v1.0</t>
        </is>
      </c>
      <c r="N29" s="24" t="inlineStr"/>
    </row>
    <row r="30">
      <c r="A30" s="23" t="inlineStr">
        <is>
          <t>habit_records</t>
        </is>
      </c>
      <c r="B30" s="24" t="inlineStr">
        <is>
          <t>실천 기록</t>
        </is>
      </c>
      <c r="C30" s="24" t="inlineStr">
        <is>
          <t>completed</t>
        </is>
      </c>
      <c r="D30" s="24" t="inlineStr">
        <is>
          <t>완료 여부</t>
        </is>
      </c>
      <c r="E30" s="24" t="inlineStr">
        <is>
          <t>boolean</t>
        </is>
      </c>
      <c r="F30" s="25" t="inlineStr"/>
      <c r="G30" s="24" t="inlineStr"/>
      <c r="H30" s="25" t="inlineStr">
        <is>
          <t>Y</t>
        </is>
      </c>
      <c r="I30" s="24" t="inlineStr">
        <is>
          <t>false</t>
        </is>
      </c>
      <c r="J30" s="24" t="inlineStr"/>
      <c r="K30" s="24" t="inlineStr">
        <is>
          <t>RW-03 · RW-04 · P-4 · P-5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23" t="inlineStr">
        <is>
          <t>habit_records</t>
        </is>
      </c>
      <c r="B31" s="24" t="inlineStr">
        <is>
          <t>실천 기록</t>
        </is>
      </c>
      <c r="C31" s="24" t="inlineStr">
        <is>
          <t>created_at</t>
        </is>
      </c>
      <c r="D31" s="24" t="inlineStr">
        <is>
          <t>생성 일시</t>
        </is>
      </c>
      <c r="E31" s="24" t="inlineStr">
        <is>
          <t>timestamp</t>
        </is>
      </c>
      <c r="F31" s="25" t="inlineStr"/>
      <c r="G31" s="24" t="inlineStr"/>
      <c r="H31" s="25" t="inlineStr">
        <is>
          <t>N</t>
        </is>
      </c>
      <c r="I31" s="24" t="inlineStr">
        <is>
          <t>now()</t>
        </is>
      </c>
      <c r="J31" s="24" t="inlineStr"/>
      <c r="K31" s="24" t="inlineStr">
        <is>
          <t>RW-03 · RW-04 · P-4 · P-5</t>
        </is>
      </c>
      <c r="L31" s="25" t="inlineStr">
        <is>
          <t>신규</t>
        </is>
      </c>
      <c r="M31" s="25" t="inlineStr">
        <is>
          <t>v1.0</t>
        </is>
      </c>
      <c r="N31" s="24" t="inlineStr">
        <is>
          <t>인덱스: (goal_id, record_date) [unique, note: '같은 날 중복 완료 방지']</t>
        </is>
      </c>
    </row>
    <row r="32">
      <c r="A32" s="23" t="inlineStr">
        <is>
          <t>rewards</t>
        </is>
      </c>
      <c r="B32" s="24" t="inlineStr">
        <is>
          <t>포인트</t>
        </is>
      </c>
      <c r="C32" s="24" t="inlineStr">
        <is>
          <t>id</t>
        </is>
      </c>
      <c r="D32" s="24" t="inlineStr">
        <is>
          <t>ID</t>
        </is>
      </c>
      <c r="E32" s="24" t="inlineStr">
        <is>
          <t>bigint</t>
        </is>
      </c>
      <c r="F32" s="25" t="inlineStr">
        <is>
          <t>PK</t>
        </is>
      </c>
      <c r="G32" s="24" t="inlineStr"/>
      <c r="H32" s="25" t="inlineStr">
        <is>
          <t>Y</t>
        </is>
      </c>
      <c r="I32" s="24" t="inlineStr"/>
      <c r="J32" s="24" t="inlineStr"/>
      <c r="K32" s="24" t="inlineStr">
        <is>
          <t>RW-05 · RW-06 · P-6</t>
        </is>
      </c>
      <c r="L32" s="25" t="inlineStr">
        <is>
          <t>신규</t>
        </is>
      </c>
      <c r="M32" s="25" t="inlineStr">
        <is>
          <t>v1.0</t>
        </is>
      </c>
      <c r="N32" s="24" t="inlineStr"/>
    </row>
    <row r="33">
      <c r="A33" s="23" t="inlineStr">
        <is>
          <t>rewards</t>
        </is>
      </c>
      <c r="B33" s="24" t="inlineStr">
        <is>
          <t>포인트</t>
        </is>
      </c>
      <c r="C33" s="24" t="inlineStr">
        <is>
          <t>user_id</t>
        </is>
      </c>
      <c r="D33" s="24" t="inlineStr">
        <is>
          <t>사용자 ID</t>
        </is>
      </c>
      <c r="E33" s="24" t="inlineStr">
        <is>
          <t>bigint</t>
        </is>
      </c>
      <c r="F33" s="25" t="inlineStr">
        <is>
          <t>FK</t>
        </is>
      </c>
      <c r="G33" s="24" t="inlineStr">
        <is>
          <t>users.id</t>
        </is>
      </c>
      <c r="H33" s="25" t="inlineStr">
        <is>
          <t>Y</t>
        </is>
      </c>
      <c r="I33" s="24" t="inlineStr"/>
      <c r="J33" s="24" t="inlineStr"/>
      <c r="K33" s="24" t="inlineStr">
        <is>
          <t>RW-05 · RW-06 · P-6</t>
        </is>
      </c>
      <c r="L33" s="25" t="inlineStr">
        <is>
          <t>신규</t>
        </is>
      </c>
      <c r="M33" s="25" t="inlineStr">
        <is>
          <t>v1.0</t>
        </is>
      </c>
      <c r="N33" s="24" t="inlineStr"/>
    </row>
    <row r="34">
      <c r="A34" s="23" t="inlineStr">
        <is>
          <t>rewards</t>
        </is>
      </c>
      <c r="B34" s="24" t="inlineStr">
        <is>
          <t>포인트</t>
        </is>
      </c>
      <c r="C34" s="24" t="inlineStr">
        <is>
          <t>record_id</t>
        </is>
      </c>
      <c r="D34" s="24" t="inlineStr">
        <is>
          <t>실천 기록 ID</t>
        </is>
      </c>
      <c r="E34" s="24" t="inlineStr">
        <is>
          <t>bigint</t>
        </is>
      </c>
      <c r="F34" s="25" t="inlineStr">
        <is>
          <t>FK</t>
        </is>
      </c>
      <c r="G34" s="24" t="inlineStr">
        <is>
          <t>habit_records.id</t>
        </is>
      </c>
      <c r="H34" s="25" t="inlineStr">
        <is>
          <t>N</t>
        </is>
      </c>
      <c r="I34" s="24" t="inlineStr"/>
      <c r="J34" s="24" t="inlineStr">
        <is>
          <t>목표 완료 보상일 때</t>
        </is>
      </c>
      <c r="K34" s="24" t="inlineStr">
        <is>
          <t>RW-05 · RW-06 · P-6</t>
        </is>
      </c>
      <c r="L34" s="25" t="inlineStr">
        <is>
          <t>신규</t>
        </is>
      </c>
      <c r="M34" s="25" t="inlineStr">
        <is>
          <t>v1.0</t>
        </is>
      </c>
      <c r="N34" s="24" t="inlineStr"/>
    </row>
    <row r="35">
      <c r="A35" s="23" t="inlineStr">
        <is>
          <t>rewards</t>
        </is>
      </c>
      <c r="B35" s="24" t="inlineStr">
        <is>
          <t>포인트</t>
        </is>
      </c>
      <c r="C35" s="24" t="inlineStr">
        <is>
          <t>reward_type</t>
        </is>
      </c>
      <c r="D35" s="24" t="inlineStr">
        <is>
          <t>보상 종류</t>
        </is>
      </c>
      <c r="E35" s="24" t="inlineStr">
        <is>
          <t>varchar(20)</t>
        </is>
      </c>
      <c r="F35" s="25" t="inlineStr"/>
      <c r="G35" s="24" t="inlineStr"/>
      <c r="H35" s="25" t="inlineStr">
        <is>
          <t>Y</t>
        </is>
      </c>
      <c r="I35" s="24" t="inlineStr"/>
      <c r="J35" s="24" t="inlineStr">
        <is>
          <t>goal_done / all_done(하루 전체 완료 보너스)</t>
        </is>
      </c>
      <c r="K35" s="24" t="inlineStr">
        <is>
          <t>RW-05 · RW-06 · P-6</t>
        </is>
      </c>
      <c r="L35" s="25" t="inlineStr">
        <is>
          <t>신규</t>
        </is>
      </c>
      <c r="M35" s="25" t="inlineStr">
        <is>
          <t>v1.0</t>
        </is>
      </c>
      <c r="N35" s="24" t="inlineStr"/>
    </row>
    <row r="36">
      <c r="A36" s="23" t="inlineStr">
        <is>
          <t>rewards</t>
        </is>
      </c>
      <c r="B36" s="24" t="inlineStr">
        <is>
          <t>포인트</t>
        </is>
      </c>
      <c r="C36" s="24" t="inlineStr">
        <is>
          <t>points</t>
        </is>
      </c>
      <c r="D36" s="24" t="inlineStr">
        <is>
          <t>포인트</t>
        </is>
      </c>
      <c r="E36" s="24" t="inlineStr">
        <is>
          <t>int</t>
        </is>
      </c>
      <c r="F36" s="25" t="inlineStr"/>
      <c r="G36" s="24" t="inlineStr"/>
      <c r="H36" s="25" t="inlineStr">
        <is>
          <t>Y</t>
        </is>
      </c>
      <c r="I36" s="24" t="inlineStr"/>
      <c r="J36" s="24" t="inlineStr"/>
      <c r="K36" s="24" t="inlineStr">
        <is>
          <t>RW-05 · RW-06 · P-6</t>
        </is>
      </c>
      <c r="L36" s="25" t="inlineStr">
        <is>
          <t>신규</t>
        </is>
      </c>
      <c r="M36" s="25" t="inlineStr">
        <is>
          <t>v1.0</t>
        </is>
      </c>
      <c r="N36" s="24" t="inlineStr"/>
    </row>
    <row r="37">
      <c r="A37" s="23" t="inlineStr">
        <is>
          <t>rewards</t>
        </is>
      </c>
      <c r="B37" s="24" t="inlineStr">
        <is>
          <t>포인트</t>
        </is>
      </c>
      <c r="C37" s="24" t="inlineStr">
        <is>
          <t>reward_date</t>
        </is>
      </c>
      <c r="D37" s="24" t="inlineStr">
        <is>
          <t>지급일</t>
        </is>
      </c>
      <c r="E37" s="24" t="inlineStr">
        <is>
          <t>date</t>
        </is>
      </c>
      <c r="F37" s="25" t="inlineStr"/>
      <c r="G37" s="24" t="inlineStr"/>
      <c r="H37" s="25" t="inlineStr">
        <is>
          <t>Y</t>
        </is>
      </c>
      <c r="I37" s="24" t="inlineStr"/>
      <c r="J37" s="24" t="inlineStr"/>
      <c r="K37" s="24" t="inlineStr">
        <is>
          <t>RW-05 · RW-06 · P-6</t>
        </is>
      </c>
      <c r="L37" s="25" t="inlineStr">
        <is>
          <t>신규</t>
        </is>
      </c>
      <c r="M37" s="25" t="inlineStr">
        <is>
          <t>v1.0</t>
        </is>
      </c>
      <c r="N37" s="24" t="inlineStr"/>
    </row>
    <row r="38">
      <c r="A38" s="23" t="inlineStr">
        <is>
          <t>rewards</t>
        </is>
      </c>
      <c r="B38" s="24" t="inlineStr">
        <is>
          <t>포인트</t>
        </is>
      </c>
      <c r="C38" s="24" t="inlineStr">
        <is>
          <t>created_at</t>
        </is>
      </c>
      <c r="D38" s="24" t="inlineStr">
        <is>
          <t>생성 일시</t>
        </is>
      </c>
      <c r="E38" s="24" t="inlineStr">
        <is>
          <t>timestamp</t>
        </is>
      </c>
      <c r="F38" s="25" t="inlineStr"/>
      <c r="G38" s="24" t="inlineStr"/>
      <c r="H38" s="25" t="inlineStr">
        <is>
          <t>N</t>
        </is>
      </c>
      <c r="I38" s="24" t="inlineStr">
        <is>
          <t>now()</t>
        </is>
      </c>
      <c r="J38" s="24" t="inlineStr"/>
      <c r="K38" s="24" t="inlineStr">
        <is>
          <t>RW-05 · RW-06 · P-6</t>
        </is>
      </c>
      <c r="L38" s="25" t="inlineStr">
        <is>
          <t>신규</t>
        </is>
      </c>
      <c r="M38" s="25" t="inlineStr">
        <is>
          <t>v1.0</t>
        </is>
      </c>
      <c r="N38" s="24" t="inlineStr">
        <is>
          <t>인덱스: (user_id, reward_date, reward_type, record_id) [unique, note: '중복 지급 방지 (REQ-113)']</t>
        </is>
      </c>
    </row>
  </sheetData>
  <autoFilter ref="A4:N38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11" t="inlineStr">
        <is>
          <t>ERD v1.0 · 마스터</t>
        </is>
      </c>
    </row>
    <row r="2">
      <c r="A2" s="12" t="inlineStr">
        <is>
          <t>형준 · 공공데이터 사전 적재 (의약품 · DUR · 중복 · 질병 · 생활습관)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drug_products</t>
        </is>
      </c>
      <c r="B5" s="15" t="inlineStr">
        <is>
          <t>의약품 제품</t>
        </is>
      </c>
      <c r="C5" s="15" t="inlineStr">
        <is>
          <t>edi_code</t>
        </is>
      </c>
      <c r="D5" s="15" t="inlineStr">
        <is>
          <t>EDI 제품코드</t>
        </is>
      </c>
      <c r="E5" s="15" t="inlineStr">
        <is>
          <t>varchar(9)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>
        <is>
          <t>심평원 제품코드 = 식약처 EDI_CODE ← 조인 키</t>
        </is>
      </c>
      <c r="K5" s="15" t="inlineStr">
        <is>
          <t>O-3 · O-4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약제급여목록 22,041품목 기준. 규격·단위는 복용 총량 계산에 사용</t>
        </is>
      </c>
    </row>
    <row r="6">
      <c r="A6" s="19" t="inlineStr">
        <is>
          <t>drug_products</t>
        </is>
      </c>
      <c r="B6" s="15" t="inlineStr">
        <is>
          <t>의약품 제품</t>
        </is>
      </c>
      <c r="C6" s="15" t="inlineStr">
        <is>
          <t>item_seq</t>
        </is>
      </c>
      <c r="D6" s="15" t="inlineStr">
        <is>
          <t>품목기준코드</t>
        </is>
      </c>
      <c r="E6" s="15" t="inlineStr">
        <is>
          <t>varchar(9)</t>
        </is>
      </c>
      <c r="F6" s="16" t="inlineStr"/>
      <c r="G6" s="15" t="inlineStr"/>
      <c r="H6" s="16" t="inlineStr">
        <is>
          <t>N</t>
        </is>
      </c>
      <c r="I6" s="15" t="inlineStr"/>
      <c r="J6" s="15" t="inlineStr">
        <is>
          <t>식약처 품목기준코드</t>
        </is>
      </c>
      <c r="K6" s="15" t="inlineStr">
        <is>
          <t>O-3 · O-4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19" t="inlineStr">
        <is>
          <t>drug_products</t>
        </is>
      </c>
      <c r="B7" s="15" t="inlineStr">
        <is>
          <t>의약품 제품</t>
        </is>
      </c>
      <c r="C7" s="15" t="inlineStr">
        <is>
          <t>item_name</t>
        </is>
      </c>
      <c r="D7" s="15" t="inlineStr">
        <is>
          <t>제품명</t>
        </is>
      </c>
      <c r="E7" s="15" t="inlineStr">
        <is>
          <t>varchar(300)</t>
        </is>
      </c>
      <c r="F7" s="16" t="inlineStr"/>
      <c r="G7" s="15" t="inlineStr"/>
      <c r="H7" s="16" t="inlineStr">
        <is>
          <t>Y</t>
        </is>
      </c>
      <c r="I7" s="15" t="inlineStr"/>
      <c r="J7" s="15" t="inlineStr"/>
      <c r="K7" s="15" t="inlineStr">
        <is>
          <t>O-3 · O-4</t>
        </is>
      </c>
      <c r="L7" s="16" t="inlineStr">
        <is>
          <t>기존</t>
        </is>
      </c>
      <c r="M7" s="16" t="inlineStr">
        <is>
          <t>v0.1</t>
        </is>
      </c>
      <c r="N7" s="15" t="inlineStr"/>
    </row>
    <row r="8">
      <c r="A8" s="19" t="inlineStr">
        <is>
          <t>drug_products</t>
        </is>
      </c>
      <c r="B8" s="15" t="inlineStr">
        <is>
          <t>의약품 제품</t>
        </is>
      </c>
      <c r="C8" s="15" t="inlineStr">
        <is>
          <t>item_name_norm</t>
        </is>
      </c>
      <c r="D8" s="15" t="inlineStr">
        <is>
          <t>정규화 제품명</t>
        </is>
      </c>
      <c r="E8" s="15" t="inlineStr">
        <is>
          <t>varchar(300)</t>
        </is>
      </c>
      <c r="F8" s="16" t="inlineStr"/>
      <c r="G8" s="15" t="inlineStr"/>
      <c r="H8" s="16" t="inlineStr">
        <is>
          <t>N</t>
        </is>
      </c>
      <c r="I8" s="15" t="inlineStr"/>
      <c r="J8" s="15" t="inlineStr">
        <is>
          <t>정규화된 이름 (괄호·규격 제거) — 매칭용 인덱스</t>
        </is>
      </c>
      <c r="K8" s="15" t="inlineStr">
        <is>
          <t>O-3 · O-4</t>
        </is>
      </c>
      <c r="L8" s="16" t="inlineStr">
        <is>
          <t>기존</t>
        </is>
      </c>
      <c r="M8" s="16" t="inlineStr">
        <is>
          <t>v0.1</t>
        </is>
      </c>
      <c r="N8" s="15" t="inlineStr"/>
    </row>
    <row r="9">
      <c r="A9" s="19" t="inlineStr">
        <is>
          <t>drug_products</t>
        </is>
      </c>
      <c r="B9" s="15" t="inlineStr">
        <is>
          <t>의약품 제품</t>
        </is>
      </c>
      <c r="C9" s="15" t="inlineStr">
        <is>
          <t>entp_name</t>
        </is>
      </c>
      <c r="D9" s="15" t="inlineStr">
        <is>
          <t>업체명</t>
        </is>
      </c>
      <c r="E9" s="15" t="inlineStr">
        <is>
          <t>varchar(200)</t>
        </is>
      </c>
      <c r="F9" s="16" t="inlineStr"/>
      <c r="G9" s="15" t="inlineStr"/>
      <c r="H9" s="16" t="inlineStr">
        <is>
          <t>N</t>
        </is>
      </c>
      <c r="I9" s="15" t="inlineStr"/>
      <c r="J9" s="15" t="inlineStr"/>
      <c r="K9" s="15" t="inlineStr">
        <is>
          <t>O-3 · O-4</t>
        </is>
      </c>
      <c r="L9" s="16" t="inlineStr">
        <is>
          <t>기존</t>
        </is>
      </c>
      <c r="M9" s="16" t="inlineStr">
        <is>
          <t>v0.1</t>
        </is>
      </c>
      <c r="N9" s="15" t="inlineStr"/>
    </row>
    <row r="10">
      <c r="A10" s="19" t="inlineStr">
        <is>
          <t>drug_products</t>
        </is>
      </c>
      <c r="B10" s="15" t="inlineStr">
        <is>
          <t>의약품 제품</t>
        </is>
      </c>
      <c r="C10" s="15" t="inlineStr">
        <is>
          <t>ingr_code</t>
        </is>
      </c>
      <c r="D10" s="15" t="inlineStr">
        <is>
          <t>성분 코드</t>
        </is>
      </c>
      <c r="E10" s="15" t="inlineStr">
        <is>
          <t>varchar(9)</t>
        </is>
      </c>
      <c r="F10" s="16" t="inlineStr">
        <is>
          <t>FK</t>
        </is>
      </c>
      <c r="G10" s="15" t="inlineStr">
        <is>
          <t>drug_ingredients.ingr_code</t>
        </is>
      </c>
      <c r="H10" s="16" t="inlineStr">
        <is>
          <t>N</t>
        </is>
      </c>
      <c r="I10" s="15" t="inlineStr"/>
      <c r="J10" s="15" t="inlineStr">
        <is>
          <t>심평원 주성분코드</t>
        </is>
      </c>
      <c r="K10" s="15" t="inlineStr">
        <is>
          <t>O-3 · O-4</t>
        </is>
      </c>
      <c r="L10" s="16" t="inlineStr">
        <is>
          <t>기존</t>
        </is>
      </c>
      <c r="M10" s="16" t="inlineStr">
        <is>
          <t>v0.1</t>
        </is>
      </c>
      <c r="N10" s="15" t="inlineStr"/>
    </row>
    <row r="11">
      <c r="A11" s="19" t="inlineStr">
        <is>
          <t>drug_products</t>
        </is>
      </c>
      <c r="B11" s="15" t="inlineStr">
        <is>
          <t>의약품 제품</t>
        </is>
      </c>
      <c r="C11" s="15" t="inlineStr">
        <is>
          <t>ingr_group</t>
        </is>
      </c>
      <c r="D11" s="15" t="inlineStr">
        <is>
          <t>동일성분 그룹</t>
        </is>
      </c>
      <c r="E11" s="15" t="inlineStr">
        <is>
          <t>varchar(9)</t>
        </is>
      </c>
      <c r="F11" s="16" t="inlineStr"/>
      <c r="G11" s="15" t="inlineStr"/>
      <c r="H11" s="16" t="inlineStr">
        <is>
          <t>N</t>
        </is>
      </c>
      <c r="I11" s="15" t="inlineStr"/>
      <c r="J11" s="15" t="inlineStr">
        <is>
          <t>주성분코드_동일제형 — 제형 무관 동일성분 그룹</t>
        </is>
      </c>
      <c r="K11" s="15" t="inlineStr">
        <is>
          <t>O-3 · O-4</t>
        </is>
      </c>
      <c r="L11" s="16" t="inlineStr">
        <is>
          <t>기존</t>
        </is>
      </c>
      <c r="M11" s="16" t="inlineStr">
        <is>
          <t>v0.1</t>
        </is>
      </c>
      <c r="N11" s="15" t="inlineStr"/>
    </row>
    <row r="12">
      <c r="A12" s="19" t="inlineStr">
        <is>
          <t>drug_products</t>
        </is>
      </c>
      <c r="B12" s="15" t="inlineStr">
        <is>
          <t>의약품 제품</t>
        </is>
      </c>
      <c r="C12" s="15" t="inlineStr">
        <is>
          <t>etc_otc</t>
        </is>
      </c>
      <c r="D12" s="15" t="inlineStr">
        <is>
          <t>전문/일반</t>
        </is>
      </c>
      <c r="E12" s="15" t="inlineStr">
        <is>
          <t>varchar(10)</t>
        </is>
      </c>
      <c r="F12" s="16" t="inlineStr"/>
      <c r="G12" s="15" t="inlineStr"/>
      <c r="H12" s="16" t="inlineStr">
        <is>
          <t>N</t>
        </is>
      </c>
      <c r="I12" s="15" t="inlineStr"/>
      <c r="J12" s="15" t="inlineStr">
        <is>
          <t>전문 / 일반</t>
        </is>
      </c>
      <c r="K12" s="15" t="inlineStr">
        <is>
          <t>O-3 · O-4</t>
        </is>
      </c>
      <c r="L12" s="16" t="inlineStr">
        <is>
          <t>기존</t>
        </is>
      </c>
      <c r="M12" s="16" t="inlineStr">
        <is>
          <t>v0.1</t>
        </is>
      </c>
      <c r="N12" s="15" t="inlineStr"/>
    </row>
    <row r="13">
      <c r="A13" s="19" t="inlineStr">
        <is>
          <t>drug_products</t>
        </is>
      </c>
      <c r="B13" s="15" t="inlineStr">
        <is>
          <t>의약품 제품</t>
        </is>
      </c>
      <c r="C13" s="15" t="inlineStr">
        <is>
          <t>class_code</t>
        </is>
      </c>
      <c r="D13" s="15" t="inlineStr">
        <is>
          <t>약효분류</t>
        </is>
      </c>
      <c r="E13" s="15" t="inlineStr">
        <is>
          <t>varchar(10)</t>
        </is>
      </c>
      <c r="F13" s="16" t="inlineStr"/>
      <c r="G13" s="15" t="inlineStr"/>
      <c r="H13" s="16" t="inlineStr">
        <is>
          <t>N</t>
        </is>
      </c>
      <c r="I13" s="15" t="inlineStr"/>
      <c r="J13" s="15" t="inlineStr">
        <is>
          <t>약효분류</t>
        </is>
      </c>
      <c r="K13" s="15" t="inlineStr">
        <is>
          <t>O-3 · O-4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19" t="inlineStr">
        <is>
          <t>drug_products</t>
        </is>
      </c>
      <c r="B14" s="15" t="inlineStr">
        <is>
          <t>의약품 제품</t>
        </is>
      </c>
      <c r="C14" s="15" t="inlineStr">
        <is>
          <t>spec_value</t>
        </is>
      </c>
      <c r="D14" s="15" t="inlineStr">
        <is>
          <t>규격</t>
        </is>
      </c>
      <c r="E14" s="15" t="inlineStr">
        <is>
          <t>decimal(12,3)</t>
        </is>
      </c>
      <c r="F14" s="16" t="inlineStr"/>
      <c r="G14" s="15" t="inlineStr"/>
      <c r="H14" s="16" t="inlineStr">
        <is>
          <t>N</t>
        </is>
      </c>
      <c r="I14" s="15" t="inlineStr"/>
      <c r="J14" s="15" t="inlineStr">
        <is>
          <t>규격 (예: 5)</t>
        </is>
      </c>
      <c r="K14" s="15" t="inlineStr">
        <is>
          <t>O-3 · O-4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19" t="inlineStr">
        <is>
          <t>drug_products</t>
        </is>
      </c>
      <c r="B15" s="15" t="inlineStr">
        <is>
          <t>의약품 제품</t>
        </is>
      </c>
      <c r="C15" s="15" t="inlineStr">
        <is>
          <t>spec_unit</t>
        </is>
      </c>
      <c r="D15" s="15" t="inlineStr">
        <is>
          <t>규격 단위</t>
        </is>
      </c>
      <c r="E15" s="15" t="inlineStr">
        <is>
          <t>varchar(30)</t>
        </is>
      </c>
      <c r="F15" s="16" t="inlineStr"/>
      <c r="G15" s="15" t="inlineStr"/>
      <c r="H15" s="16" t="inlineStr">
        <is>
          <t>N</t>
        </is>
      </c>
      <c r="I15" s="15" t="inlineStr"/>
      <c r="J15" s="15" t="inlineStr">
        <is>
          <t>단위 (예: mg/정)</t>
        </is>
      </c>
      <c r="K15" s="15" t="inlineStr">
        <is>
          <t>O-3 · O-4</t>
        </is>
      </c>
      <c r="L15" s="16" t="inlineStr">
        <is>
          <t>기존</t>
        </is>
      </c>
      <c r="M15" s="16" t="inlineStr">
        <is>
          <t>v0.1</t>
        </is>
      </c>
      <c r="N15" s="15" t="inlineStr"/>
    </row>
    <row r="16">
      <c r="A16" s="19" t="inlineStr">
        <is>
          <t>drug_products</t>
        </is>
      </c>
      <c r="B16" s="15" t="inlineStr">
        <is>
          <t>의약품 제품</t>
        </is>
      </c>
      <c r="C16" s="15" t="inlineStr">
        <is>
          <t>price</t>
        </is>
      </c>
      <c r="D16" s="15" t="inlineStr">
        <is>
          <t>급여 상한금액</t>
        </is>
      </c>
      <c r="E16" s="15" t="inlineStr">
        <is>
          <t>int</t>
        </is>
      </c>
      <c r="F16" s="16" t="inlineStr"/>
      <c r="G16" s="15" t="inlineStr"/>
      <c r="H16" s="16" t="inlineStr">
        <is>
          <t>N</t>
        </is>
      </c>
      <c r="I16" s="15" t="inlineStr"/>
      <c r="J16" s="15" t="inlineStr">
        <is>
          <t>급여 상한금액</t>
        </is>
      </c>
      <c r="K16" s="15" t="inlineStr">
        <is>
          <t>O-3 · O-4</t>
        </is>
      </c>
      <c r="L16" s="16" t="inlineStr">
        <is>
          <t>기존</t>
        </is>
      </c>
      <c r="M16" s="16" t="inlineStr">
        <is>
          <t>v0.1</t>
        </is>
      </c>
      <c r="N16" s="15" t="inlineStr"/>
    </row>
    <row r="17">
      <c r="A17" s="19" t="inlineStr">
        <is>
          <t>drug_products</t>
        </is>
      </c>
      <c r="B17" s="15" t="inlineStr">
        <is>
          <t>의약품 제품</t>
        </is>
      </c>
      <c r="C17" s="15" t="inlineStr">
        <is>
          <t>route</t>
        </is>
      </c>
      <c r="D17" s="15" t="inlineStr">
        <is>
          <t>투여 경로</t>
        </is>
      </c>
      <c r="E17" s="15" t="inlineStr">
        <is>
          <t>varchar(10)</t>
        </is>
      </c>
      <c r="F17" s="16" t="inlineStr"/>
      <c r="G17" s="15" t="inlineStr"/>
      <c r="H17" s="16" t="inlineStr">
        <is>
          <t>N</t>
        </is>
      </c>
      <c r="I17" s="15" t="inlineStr"/>
      <c r="J17" s="15" t="inlineStr">
        <is>
          <t>내복 / 주사 / 외용</t>
        </is>
      </c>
      <c r="K17" s="15" t="inlineStr">
        <is>
          <t>O-3 · O-4</t>
        </is>
      </c>
      <c r="L17" s="16" t="inlineStr">
        <is>
          <t>기존</t>
        </is>
      </c>
      <c r="M17" s="16" t="inlineStr">
        <is>
          <t>v0.1</t>
        </is>
      </c>
      <c r="N17" s="15" t="inlineStr"/>
    </row>
    <row r="18">
      <c r="A18" s="19" t="inlineStr">
        <is>
          <t>drug_ingredients</t>
        </is>
      </c>
      <c r="B18" s="15" t="inlineStr">
        <is>
          <t>의약품 성분</t>
        </is>
      </c>
      <c r="C18" s="15" t="inlineStr">
        <is>
          <t>ingr_code</t>
        </is>
      </c>
      <c r="D18" s="15" t="inlineStr">
        <is>
          <t>성분 코드</t>
        </is>
      </c>
      <c r="E18" s="15" t="inlineStr">
        <is>
          <t>varchar(9)</t>
        </is>
      </c>
      <c r="F18" s="16" t="inlineStr">
        <is>
          <t>PK</t>
        </is>
      </c>
      <c r="G18" s="15" t="inlineStr"/>
      <c r="H18" s="16" t="inlineStr">
        <is>
          <t>Y</t>
        </is>
      </c>
      <c r="I18" s="15" t="inlineStr"/>
      <c r="J18" s="15" t="inlineStr">
        <is>
          <t>앞6=성분, 뒤3=제형 (ATB정제 ACH캡슐 BIJ주사)</t>
        </is>
      </c>
      <c r="K18" s="15" t="inlineStr">
        <is>
          <t>—</t>
        </is>
      </c>
      <c r="L18" s="16" t="inlineStr">
        <is>
          <t>기존</t>
        </is>
      </c>
      <c r="M18" s="16" t="inlineStr">
        <is>
          <t>v0.1</t>
        </is>
      </c>
      <c r="N18" s="15" t="inlineStr"/>
    </row>
    <row r="19">
      <c r="A19" s="19" t="inlineStr">
        <is>
          <t>drug_ingredients</t>
        </is>
      </c>
      <c r="B19" s="15" t="inlineStr">
        <is>
          <t>의약품 성분</t>
        </is>
      </c>
      <c r="C19" s="15" t="inlineStr">
        <is>
          <t>ingr_name</t>
        </is>
      </c>
      <c r="D19" s="15" t="inlineStr">
        <is>
          <t>성분명 (영문)</t>
        </is>
      </c>
      <c r="E19" s="15" t="inlineStr">
        <is>
          <t>varchar(300)</t>
        </is>
      </c>
      <c r="F19" s="16" t="inlineStr"/>
      <c r="G19" s="15" t="inlineStr"/>
      <c r="H19" s="16" t="inlineStr">
        <is>
          <t>N</t>
        </is>
      </c>
      <c r="I19" s="15" t="inlineStr"/>
      <c r="J19" s="15" t="inlineStr">
        <is>
          <t>영문 성분명</t>
        </is>
      </c>
      <c r="K19" s="15" t="inlineStr">
        <is>
          <t>—</t>
        </is>
      </c>
      <c r="L19" s="16" t="inlineStr">
        <is>
          <t>기존</t>
        </is>
      </c>
      <c r="M19" s="16" t="inlineStr">
        <is>
          <t>v0.1</t>
        </is>
      </c>
      <c r="N19" s="15" t="inlineStr"/>
    </row>
    <row r="20">
      <c r="A20" s="19" t="inlineStr">
        <is>
          <t>drug_ingredients</t>
        </is>
      </c>
      <c r="B20" s="15" t="inlineStr">
        <is>
          <t>의약품 성분</t>
        </is>
      </c>
      <c r="C20" s="15" t="inlineStr">
        <is>
          <t>ingr_name_kr</t>
        </is>
      </c>
      <c r="D20" s="15" t="inlineStr">
        <is>
          <t>성분명 (한글)</t>
        </is>
      </c>
      <c r="E20" s="15" t="inlineStr">
        <is>
          <t>varchar(300)</t>
        </is>
      </c>
      <c r="F20" s="16" t="inlineStr"/>
      <c r="G20" s="15" t="inlineStr"/>
      <c r="H20" s="16" t="inlineStr">
        <is>
          <t>N</t>
        </is>
      </c>
      <c r="I20" s="15" t="inlineStr"/>
      <c r="J20" s="15" t="inlineStr"/>
      <c r="K20" s="15" t="inlineStr">
        <is>
          <t>—</t>
        </is>
      </c>
      <c r="L20" s="16" t="inlineStr">
        <is>
          <t>기존</t>
        </is>
      </c>
      <c r="M20" s="16" t="inlineStr">
        <is>
          <t>v0.1</t>
        </is>
      </c>
      <c r="N20" s="15" t="inlineStr"/>
    </row>
    <row r="21">
      <c r="A21" s="19" t="inlineStr">
        <is>
          <t>drug_details</t>
        </is>
      </c>
      <c r="B21" s="15" t="inlineStr">
        <is>
          <t>의약품 상세 (허가정보)</t>
        </is>
      </c>
      <c r="C21" s="15" t="inlineStr">
        <is>
          <t>edi_code</t>
        </is>
      </c>
      <c r="D21" s="15" t="inlineStr">
        <is>
          <t>EDI 제품코드</t>
        </is>
      </c>
      <c r="E21" s="15" t="inlineStr">
        <is>
          <t>varchar(9)</t>
        </is>
      </c>
      <c r="F21" s="16" t="inlineStr">
        <is>
          <t>PK · FK</t>
        </is>
      </c>
      <c r="G21" s="15" t="inlineStr">
        <is>
          <t>drug_products.edi_code</t>
        </is>
      </c>
      <c r="H21" s="16" t="inlineStr">
        <is>
          <t>Y</t>
        </is>
      </c>
      <c r="I21" s="15" t="inlineStr"/>
      <c r="J21" s="15" t="inlineStr"/>
      <c r="K21" s="15" t="inlineStr">
        <is>
          <t>R-4 (RAG 검색)</t>
        </is>
      </c>
      <c r="L21" s="16" t="inlineStr">
        <is>
          <t>기존</t>
        </is>
      </c>
      <c r="M21" s="16" t="inlineStr">
        <is>
          <t>v0.1</t>
        </is>
      </c>
      <c r="N21" s="15" t="inlineStr">
        <is>
          <t>XML 파싱 시 &lt;ARTICLE title="..."&gt; 속성과 CDATA 양쪽에서 내용 추출 필요</t>
        </is>
      </c>
    </row>
    <row r="22">
      <c r="A22" s="19" t="inlineStr">
        <is>
          <t>drug_details</t>
        </is>
      </c>
      <c r="B22" s="15" t="inlineStr">
        <is>
          <t>의약품 상세 (허가정보)</t>
        </is>
      </c>
      <c r="C22" s="15" t="inlineStr">
        <is>
          <t>efficacy</t>
        </is>
      </c>
      <c r="D22" s="15" t="inlineStr">
        <is>
          <t>효능효과</t>
        </is>
      </c>
      <c r="E22" s="15" t="inlineStr">
        <is>
          <t>text</t>
        </is>
      </c>
      <c r="F22" s="16" t="inlineStr"/>
      <c r="G22" s="15" t="inlineStr"/>
      <c r="H22" s="16" t="inlineStr">
        <is>
          <t>N</t>
        </is>
      </c>
      <c r="I22" s="15" t="inlineStr"/>
      <c r="J22" s="15" t="inlineStr">
        <is>
          <t>효능효과 (식약처 EE_DOC_DATA 파싱)</t>
        </is>
      </c>
      <c r="K22" s="15" t="inlineStr">
        <is>
          <t>R-4 (RAG 검색)</t>
        </is>
      </c>
      <c r="L22" s="16" t="inlineStr">
        <is>
          <t>기존</t>
        </is>
      </c>
      <c r="M22" s="16" t="inlineStr">
        <is>
          <t>v0.1</t>
        </is>
      </c>
      <c r="N22" s="15" t="inlineStr"/>
    </row>
    <row r="23">
      <c r="A23" s="19" t="inlineStr">
        <is>
          <t>drug_details</t>
        </is>
      </c>
      <c r="B23" s="15" t="inlineStr">
        <is>
          <t>의약품 상세 (허가정보)</t>
        </is>
      </c>
      <c r="C23" s="15" t="inlineStr">
        <is>
          <t>usage_dose</t>
        </is>
      </c>
      <c r="D23" s="15" t="inlineStr">
        <is>
          <t>용법용량</t>
        </is>
      </c>
      <c r="E23" s="15" t="inlineStr">
        <is>
          <t>text</t>
        </is>
      </c>
      <c r="F23" s="16" t="inlineStr"/>
      <c r="G23" s="15" t="inlineStr"/>
      <c r="H23" s="16" t="inlineStr">
        <is>
          <t>N</t>
        </is>
      </c>
      <c r="I23" s="15" t="inlineStr"/>
      <c r="J23" s="15" t="inlineStr">
        <is>
          <t>용법용량 (UD_DOC_DATA)</t>
        </is>
      </c>
      <c r="K23" s="15" t="inlineStr">
        <is>
          <t>R-4 (RAG 검색)</t>
        </is>
      </c>
      <c r="L23" s="16" t="inlineStr">
        <is>
          <t>기존</t>
        </is>
      </c>
      <c r="M23" s="16" t="inlineStr">
        <is>
          <t>v0.1</t>
        </is>
      </c>
      <c r="N23" s="15" t="inlineStr"/>
    </row>
    <row r="24">
      <c r="A24" s="19" t="inlineStr">
        <is>
          <t>drug_details</t>
        </is>
      </c>
      <c r="B24" s="15" t="inlineStr">
        <is>
          <t>의약품 상세 (허가정보)</t>
        </is>
      </c>
      <c r="C24" s="15" t="inlineStr">
        <is>
          <t>precautions</t>
        </is>
      </c>
      <c r="D24" s="15" t="inlineStr">
        <is>
          <t>사용상 주의사항</t>
        </is>
      </c>
      <c r="E24" s="15" t="inlineStr">
        <is>
          <t>text</t>
        </is>
      </c>
      <c r="F24" s="16" t="inlineStr"/>
      <c r="G24" s="15" t="inlineStr"/>
      <c r="H24" s="16" t="inlineStr">
        <is>
          <t>N</t>
        </is>
      </c>
      <c r="I24" s="15" t="inlineStr"/>
      <c r="J24" s="15" t="inlineStr">
        <is>
          <t>사용상의주의사항 (NB_DOC_DATA)</t>
        </is>
      </c>
      <c r="K24" s="15" t="inlineStr">
        <is>
          <t>R-4 (RAG 검색)</t>
        </is>
      </c>
      <c r="L24" s="16" t="inlineStr">
        <is>
          <t>기존</t>
        </is>
      </c>
      <c r="M24" s="16" t="inlineStr">
        <is>
          <t>v0.1</t>
        </is>
      </c>
      <c r="N24" s="15" t="inlineStr"/>
    </row>
    <row r="25">
      <c r="A25" s="19" t="inlineStr">
        <is>
          <t>drug_details</t>
        </is>
      </c>
      <c r="B25" s="15" t="inlineStr">
        <is>
          <t>의약품 상세 (허가정보)</t>
        </is>
      </c>
      <c r="C25" s="15" t="inlineStr">
        <is>
          <t>storage</t>
        </is>
      </c>
      <c r="D25" s="15" t="inlineStr">
        <is>
          <t>보관법</t>
        </is>
      </c>
      <c r="E25" s="15" t="inlineStr">
        <is>
          <t>varchar(300)</t>
        </is>
      </c>
      <c r="F25" s="16" t="inlineStr"/>
      <c r="G25" s="15" t="inlineStr"/>
      <c r="H25" s="16" t="inlineStr">
        <is>
          <t>N</t>
        </is>
      </c>
      <c r="I25" s="15" t="inlineStr"/>
      <c r="J25" s="15" t="inlineStr">
        <is>
          <t>보관법</t>
        </is>
      </c>
      <c r="K25" s="15" t="inlineStr">
        <is>
          <t>R-4 (RAG 검색)</t>
        </is>
      </c>
      <c r="L25" s="16" t="inlineStr">
        <is>
          <t>기존</t>
        </is>
      </c>
      <c r="M25" s="16" t="inlineStr">
        <is>
          <t>v0.1</t>
        </is>
      </c>
      <c r="N25" s="15" t="inlineStr"/>
    </row>
    <row r="26">
      <c r="A26" s="19" t="inlineStr">
        <is>
          <t>drug_details</t>
        </is>
      </c>
      <c r="B26" s="15" t="inlineStr">
        <is>
          <t>의약품 상세 (허가정보)</t>
        </is>
      </c>
      <c r="C26" s="15" t="inlineStr">
        <is>
          <t>chart</t>
        </is>
      </c>
      <c r="D26" s="15" t="inlineStr">
        <is>
          <t>성상</t>
        </is>
      </c>
      <c r="E26" s="15" t="inlineStr">
        <is>
          <t>varchar(300)</t>
        </is>
      </c>
      <c r="F26" s="16" t="inlineStr"/>
      <c r="G26" s="15" t="inlineStr"/>
      <c r="H26" s="16" t="inlineStr">
        <is>
          <t>N</t>
        </is>
      </c>
      <c r="I26" s="15" t="inlineStr"/>
      <c r="J26" s="15" t="inlineStr">
        <is>
          <t>성상 — 낱알 식별에 활용 가능</t>
        </is>
      </c>
      <c r="K26" s="15" t="inlineStr">
        <is>
          <t>R-4 (RAG 검색)</t>
        </is>
      </c>
      <c r="L26" s="16" t="inlineStr">
        <is>
          <t>기존</t>
        </is>
      </c>
      <c r="M26" s="16" t="inlineStr">
        <is>
          <t>v0.1</t>
        </is>
      </c>
      <c r="N26" s="15" t="inlineStr"/>
    </row>
    <row r="27">
      <c r="A27" s="19" t="inlineStr">
        <is>
          <t>drug_details</t>
        </is>
      </c>
      <c r="B27" s="15" t="inlineStr">
        <is>
          <t>의약품 상세 (허가정보)</t>
        </is>
      </c>
      <c r="C27" s="15" t="inlineStr">
        <is>
          <t>embedding_id</t>
        </is>
      </c>
      <c r="D27" s="15" t="inlineStr">
        <is>
          <t>벡터DB 문서 ID</t>
        </is>
      </c>
      <c r="E27" s="15" t="inlineStr">
        <is>
          <t>varchar(100)</t>
        </is>
      </c>
      <c r="F27" s="16" t="inlineStr"/>
      <c r="G27" s="15" t="inlineStr"/>
      <c r="H27" s="16" t="inlineStr">
        <is>
          <t>N</t>
        </is>
      </c>
      <c r="I27" s="15" t="inlineStr"/>
      <c r="J27" s="15" t="inlineStr">
        <is>
          <t>벡터DB 문서 ID (RAG 검색용)</t>
        </is>
      </c>
      <c r="K27" s="15" t="inlineStr">
        <is>
          <t>R-4 (RAG 검색)</t>
        </is>
      </c>
      <c r="L27" s="16" t="inlineStr">
        <is>
          <t>기존</t>
        </is>
      </c>
      <c r="M27" s="16" t="inlineStr">
        <is>
          <t>v0.1</t>
        </is>
      </c>
      <c r="N27" s="15" t="inlineStr"/>
    </row>
    <row r="28">
      <c r="A28" s="19" t="inlineStr">
        <is>
          <t>dur_interaction</t>
        </is>
      </c>
      <c r="B28" s="15" t="inlineStr">
        <is>
          <t>DUR 병용금기</t>
        </is>
      </c>
      <c r="C28" s="15" t="inlineStr">
        <is>
          <t>ingr_code_a</t>
        </is>
      </c>
      <c r="D28" s="15" t="inlineStr">
        <is>
          <t>성분 코드 A</t>
        </is>
      </c>
      <c r="E28" s="15" t="inlineStr">
        <is>
          <t>varchar(9)</t>
        </is>
      </c>
      <c r="F28" s="16" t="inlineStr">
        <is>
          <t>PK</t>
        </is>
      </c>
      <c r="G28" s="15" t="inlineStr"/>
      <c r="H28" s="16" t="inlineStr">
        <is>
          <t>Y</t>
        </is>
      </c>
      <c r="I28" s="15" t="inlineStr"/>
      <c r="J28" s="15" t="inlineStr">
        <is>
          <t>정렬 후 저장 (A&lt;B) — 양방향 중복 제거</t>
        </is>
      </c>
      <c r="K28" s="15" t="inlineStr">
        <is>
          <t>R-4 · R-5</t>
        </is>
      </c>
      <c r="L28" s="16" t="inlineStr">
        <is>
          <t>기존</t>
        </is>
      </c>
      <c r="M28" s="16" t="inlineStr">
        <is>
          <t>v0.1</t>
        </is>
      </c>
      <c r="N28" s="15" t="inlineStr">
        <is>
          <t>m.db TBJBD43 기준 성분쌍 97,326건 (제품 단위 CSV 873,147행을 정규화)</t>
        </is>
      </c>
    </row>
    <row r="29">
      <c r="A29" s="19" t="inlineStr">
        <is>
          <t>dur_interaction</t>
        </is>
      </c>
      <c r="B29" s="15" t="inlineStr">
        <is>
          <t>DUR 병용금기</t>
        </is>
      </c>
      <c r="C29" s="15" t="inlineStr">
        <is>
          <t>ingr_code_b</t>
        </is>
      </c>
      <c r="D29" s="15" t="inlineStr">
        <is>
          <t>성분 코드 B</t>
        </is>
      </c>
      <c r="E29" s="15" t="inlineStr">
        <is>
          <t>varchar(9)</t>
        </is>
      </c>
      <c r="F29" s="16" t="inlineStr">
        <is>
          <t>PK</t>
        </is>
      </c>
      <c r="G29" s="15" t="inlineStr"/>
      <c r="H29" s="16" t="inlineStr">
        <is>
          <t>Y</t>
        </is>
      </c>
      <c r="I29" s="15" t="inlineStr"/>
      <c r="J29" s="15" t="inlineStr"/>
      <c r="K29" s="15" t="inlineStr">
        <is>
          <t>R-4 · R-5</t>
        </is>
      </c>
      <c r="L29" s="16" t="inlineStr">
        <is>
          <t>기존</t>
        </is>
      </c>
      <c r="M29" s="16" t="inlineStr">
        <is>
          <t>v0.1</t>
        </is>
      </c>
      <c r="N29" s="15" t="inlineStr"/>
    </row>
    <row r="30">
      <c r="A30" s="19" t="inlineStr">
        <is>
          <t>dur_interaction</t>
        </is>
      </c>
      <c r="B30" s="15" t="inlineStr">
        <is>
          <t>DUR 병용금기</t>
        </is>
      </c>
      <c r="C30" s="15" t="inlineStr">
        <is>
          <t>effective_from</t>
        </is>
      </c>
      <c r="D30" s="15" t="inlineStr">
        <is>
          <t>적용 시작일</t>
        </is>
      </c>
      <c r="E30" s="15" t="inlineStr">
        <is>
          <t>date</t>
        </is>
      </c>
      <c r="F30" s="16" t="inlineStr"/>
      <c r="G30" s="15" t="inlineStr"/>
      <c r="H30" s="16" t="inlineStr">
        <is>
          <t>N</t>
        </is>
      </c>
      <c r="I30" s="15" t="inlineStr"/>
      <c r="J30" s="15" t="inlineStr"/>
      <c r="K30" s="15" t="inlineStr">
        <is>
          <t>R-4 · R-5</t>
        </is>
      </c>
      <c r="L30" s="16" t="inlineStr">
        <is>
          <t>기존</t>
        </is>
      </c>
      <c r="M30" s="16" t="inlineStr">
        <is>
          <t>v0.1</t>
        </is>
      </c>
      <c r="N30" s="15" t="inlineStr"/>
    </row>
    <row r="31">
      <c r="A31" s="19" t="inlineStr">
        <is>
          <t>dur_interaction</t>
        </is>
      </c>
      <c r="B31" s="15" t="inlineStr">
        <is>
          <t>DUR 병용금기</t>
        </is>
      </c>
      <c r="C31" s="15" t="inlineStr">
        <is>
          <t>effective_to</t>
        </is>
      </c>
      <c r="D31" s="15" t="inlineStr">
        <is>
          <t>적용 종료일</t>
        </is>
      </c>
      <c r="E31" s="15" t="inlineStr">
        <is>
          <t>date</t>
        </is>
      </c>
      <c r="F31" s="16" t="inlineStr"/>
      <c r="G31" s="15" t="inlineStr"/>
      <c r="H31" s="16" t="inlineStr">
        <is>
          <t>N</t>
        </is>
      </c>
      <c r="I31" s="15" t="inlineStr"/>
      <c r="J31" s="15" t="inlineStr">
        <is>
          <t>99991231 = 현행</t>
        </is>
      </c>
      <c r="K31" s="15" t="inlineStr">
        <is>
          <t>R-4 · R-5</t>
        </is>
      </c>
      <c r="L31" s="16" t="inlineStr">
        <is>
          <t>기존</t>
        </is>
      </c>
      <c r="M31" s="16" t="inlineStr">
        <is>
          <t>v0.1</t>
        </is>
      </c>
      <c r="N31" s="15" t="inlineStr"/>
    </row>
    <row r="32">
      <c r="A32" s="19" t="inlineStr">
        <is>
          <t>dur_interaction</t>
        </is>
      </c>
      <c r="B32" s="15" t="inlineStr">
        <is>
          <t>DUR 병용금기</t>
        </is>
      </c>
      <c r="C32" s="15" t="inlineStr">
        <is>
          <t>reason</t>
        </is>
      </c>
      <c r="D32" s="15" t="inlineStr">
        <is>
          <t>사유</t>
        </is>
      </c>
      <c r="E32" s="15" t="inlineStr">
        <is>
          <t>text</t>
        </is>
      </c>
      <c r="F32" s="16" t="inlineStr"/>
      <c r="G32" s="15" t="inlineStr"/>
      <c r="H32" s="16" t="inlineStr">
        <is>
          <t>N</t>
        </is>
      </c>
      <c r="I32" s="15" t="inlineStr"/>
      <c r="J32" s="15" t="inlineStr">
        <is>
          <t>금기 사유 (DUR_SD_EFT)</t>
        </is>
      </c>
      <c r="K32" s="15" t="inlineStr">
        <is>
          <t>R-4 · R-5</t>
        </is>
      </c>
      <c r="L32" s="16" t="inlineStr">
        <is>
          <t>기존</t>
        </is>
      </c>
      <c r="M32" s="16" t="inlineStr">
        <is>
          <t>v0.1</t>
        </is>
      </c>
      <c r="N32" s="15" t="inlineStr"/>
    </row>
    <row r="33">
      <c r="A33" s="19" t="inlineStr">
        <is>
          <t>dur_interaction</t>
        </is>
      </c>
      <c r="B33" s="15" t="inlineStr">
        <is>
          <t>DUR 병용금기</t>
        </is>
      </c>
      <c r="C33" s="15" t="inlineStr">
        <is>
          <t>notice_date</t>
        </is>
      </c>
      <c r="D33" s="15" t="inlineStr">
        <is>
          <t>고시일</t>
        </is>
      </c>
      <c r="E33" s="15" t="inlineStr">
        <is>
          <t>date</t>
        </is>
      </c>
      <c r="F33" s="16" t="inlineStr"/>
      <c r="G33" s="15" t="inlineStr"/>
      <c r="H33" s="16" t="inlineStr">
        <is>
          <t>N</t>
        </is>
      </c>
      <c r="I33" s="15" t="inlineStr"/>
      <c r="J33" s="15" t="inlineStr">
        <is>
          <t>고시일자</t>
        </is>
      </c>
      <c r="K33" s="15" t="inlineStr">
        <is>
          <t>R-4 · R-5</t>
        </is>
      </c>
      <c r="L33" s="16" t="inlineStr">
        <is>
          <t>기존</t>
        </is>
      </c>
      <c r="M33" s="16" t="inlineStr">
        <is>
          <t>v0.1</t>
        </is>
      </c>
      <c r="N33" s="15" t="inlineStr"/>
    </row>
    <row r="34">
      <c r="A34" s="19" t="inlineStr">
        <is>
          <t>dur_interaction</t>
        </is>
      </c>
      <c r="B34" s="15" t="inlineStr">
        <is>
          <t>DUR 병용금기</t>
        </is>
      </c>
      <c r="C34" s="15" t="inlineStr">
        <is>
          <t>notice_no</t>
        </is>
      </c>
      <c r="D34" s="15" t="inlineStr">
        <is>
          <t>고시 번호</t>
        </is>
      </c>
      <c r="E34" s="15" t="inlineStr">
        <is>
          <t>varchar(10)</t>
        </is>
      </c>
      <c r="F34" s="16" t="inlineStr"/>
      <c r="G34" s="15" t="inlineStr"/>
      <c r="H34" s="16" t="inlineStr">
        <is>
          <t>N</t>
        </is>
      </c>
      <c r="I34" s="15" t="inlineStr"/>
      <c r="J34" s="15" t="inlineStr"/>
      <c r="K34" s="15" t="inlineStr">
        <is>
          <t>R-4 · R-5</t>
        </is>
      </c>
      <c r="L34" s="16" t="inlineStr">
        <is>
          <t>기존</t>
        </is>
      </c>
      <c r="M34" s="16" t="inlineStr">
        <is>
          <t>v0.1</t>
        </is>
      </c>
      <c r="N34" s="15" t="inlineStr"/>
    </row>
    <row r="35">
      <c r="A35" s="19" t="inlineStr">
        <is>
          <t>dur_interaction_exception</t>
        </is>
      </c>
      <c r="B35" s="15" t="inlineStr">
        <is>
          <t>DUR 병용금기 예외</t>
        </is>
      </c>
      <c r="C35" s="15" t="inlineStr">
        <is>
          <t>ingr_code_a</t>
        </is>
      </c>
      <c r="D35" s="15" t="inlineStr">
        <is>
          <t>성분 코드 A</t>
        </is>
      </c>
      <c r="E35" s="15" t="inlineStr">
        <is>
          <t>varchar(9)</t>
        </is>
      </c>
      <c r="F35" s="16" t="inlineStr">
        <is>
          <t>PK</t>
        </is>
      </c>
      <c r="G35" s="15" t="inlineStr"/>
      <c r="H35" s="16" t="inlineStr">
        <is>
          <t>Y</t>
        </is>
      </c>
      <c r="I35" s="15" t="inlineStr"/>
      <c r="J35" s="15" t="inlineStr"/>
      <c r="K35" s="15" t="inlineStr">
        <is>
          <t>R-4</t>
        </is>
      </c>
      <c r="L35" s="16" t="inlineStr">
        <is>
          <t>기존</t>
        </is>
      </c>
      <c r="M35" s="16" t="inlineStr">
        <is>
          <t>v0.1</t>
        </is>
      </c>
      <c r="N35" s="15" t="inlineStr">
        <is>
          <t>m.db TBJBD46. CSV에는 없는 데이터 — 없으면 오탐 발생</t>
        </is>
      </c>
    </row>
    <row r="36">
      <c r="A36" s="19" t="inlineStr">
        <is>
          <t>dur_interaction_exception</t>
        </is>
      </c>
      <c r="B36" s="15" t="inlineStr">
        <is>
          <t>DUR 병용금기 예외</t>
        </is>
      </c>
      <c r="C36" s="15" t="inlineStr">
        <is>
          <t>ingr_code_b</t>
        </is>
      </c>
      <c r="D36" s="15" t="inlineStr">
        <is>
          <t>성분 코드 B</t>
        </is>
      </c>
      <c r="E36" s="15" t="inlineStr">
        <is>
          <t>varchar(9)</t>
        </is>
      </c>
      <c r="F36" s="16" t="inlineStr">
        <is>
          <t>PK</t>
        </is>
      </c>
      <c r="G36" s="15" t="inlineStr"/>
      <c r="H36" s="16" t="inlineStr">
        <is>
          <t>Y</t>
        </is>
      </c>
      <c r="I36" s="15" t="inlineStr"/>
      <c r="J36" s="15" t="inlineStr"/>
      <c r="K36" s="15" t="inlineStr">
        <is>
          <t>R-4</t>
        </is>
      </c>
      <c r="L36" s="16" t="inlineStr">
        <is>
          <t>기존</t>
        </is>
      </c>
      <c r="M36" s="16" t="inlineStr">
        <is>
          <t>v0.1</t>
        </is>
      </c>
      <c r="N36" s="15" t="inlineStr"/>
    </row>
    <row r="37">
      <c r="A37" s="19" t="inlineStr">
        <is>
          <t>dur_interaction_exception</t>
        </is>
      </c>
      <c r="B37" s="15" t="inlineStr">
        <is>
          <t>DUR 병용금기 예외</t>
        </is>
      </c>
      <c r="C37" s="15" t="inlineStr">
        <is>
          <t>edi_code</t>
        </is>
      </c>
      <c r="D37" s="15" t="inlineStr">
        <is>
          <t>EDI 제품코드</t>
        </is>
      </c>
      <c r="E37" s="15" t="inlineStr">
        <is>
          <t>varchar(9)</t>
        </is>
      </c>
      <c r="F37" s="16" t="inlineStr">
        <is>
          <t>PK</t>
        </is>
      </c>
      <c r="G37" s="15" t="inlineStr"/>
      <c r="H37" s="16" t="inlineStr">
        <is>
          <t>Y</t>
        </is>
      </c>
      <c r="I37" s="15" t="inlineStr"/>
      <c r="J37" s="15" t="inlineStr">
        <is>
          <t>이 제품은 금기에서 제외</t>
        </is>
      </c>
      <c r="K37" s="15" t="inlineStr">
        <is>
          <t>R-4</t>
        </is>
      </c>
      <c r="L37" s="16" t="inlineStr">
        <is>
          <t>기존</t>
        </is>
      </c>
      <c r="M37" s="16" t="inlineStr">
        <is>
          <t>v0.1</t>
        </is>
      </c>
      <c r="N37" s="15" t="inlineStr"/>
    </row>
    <row r="38">
      <c r="A38" s="19" t="inlineStr">
        <is>
          <t>dur_elderly</t>
        </is>
      </c>
      <c r="B38" s="15" t="inlineStr">
        <is>
          <t>DUR 노인주의</t>
        </is>
      </c>
      <c r="C38" s="15" t="inlineStr">
        <is>
          <t>ingr_code</t>
        </is>
      </c>
      <c r="D38" s="15" t="inlineStr">
        <is>
          <t>성분 코드</t>
        </is>
      </c>
      <c r="E38" s="15" t="inlineStr">
        <is>
          <t>varchar(9)</t>
        </is>
      </c>
      <c r="F38" s="16" t="inlineStr">
        <is>
          <t>PK</t>
        </is>
      </c>
      <c r="G38" s="15" t="inlineStr"/>
      <c r="H38" s="16" t="inlineStr">
        <is>
          <t>Y</t>
        </is>
      </c>
      <c r="I38" s="15" t="inlineStr"/>
      <c r="J38" s="15" t="inlineStr"/>
      <c r="K38" s="15" t="inlineStr">
        <is>
          <t>R-4</t>
        </is>
      </c>
      <c r="L38" s="16" t="inlineStr">
        <is>
          <t>기존</t>
        </is>
      </c>
      <c r="M38" s="16" t="inlineStr">
        <is>
          <t>v0.1</t>
        </is>
      </c>
      <c r="N38" s="15" t="inlineStr">
        <is>
          <t>m.db TBDUC230 + 노인주의 CSV. 고령 타겟의 핵심</t>
        </is>
      </c>
    </row>
    <row r="39">
      <c r="A39" s="19" t="inlineStr">
        <is>
          <t>dur_elderly</t>
        </is>
      </c>
      <c r="B39" s="15" t="inlineStr">
        <is>
          <t>DUR 노인주의</t>
        </is>
      </c>
      <c r="C39" s="15" t="inlineStr">
        <is>
          <t>min_age</t>
        </is>
      </c>
      <c r="D39" s="15" t="inlineStr">
        <is>
          <t>기준 나이</t>
        </is>
      </c>
      <c r="E39" s="15" t="inlineStr">
        <is>
          <t>smallint</t>
        </is>
      </c>
      <c r="F39" s="16" t="inlineStr"/>
      <c r="G39" s="15" t="inlineStr"/>
      <c r="H39" s="16" t="inlineStr">
        <is>
          <t>N</t>
        </is>
      </c>
      <c r="I39" s="15" t="inlineStr"/>
      <c r="J39" s="15" t="inlineStr">
        <is>
          <t>통상 65</t>
        </is>
      </c>
      <c r="K39" s="15" t="inlineStr">
        <is>
          <t>R-4</t>
        </is>
      </c>
      <c r="L39" s="16" t="inlineStr">
        <is>
          <t>기존</t>
        </is>
      </c>
      <c r="M39" s="16" t="inlineStr">
        <is>
          <t>v0.1</t>
        </is>
      </c>
      <c r="N39" s="15" t="inlineStr"/>
    </row>
    <row r="40">
      <c r="A40" s="19" t="inlineStr">
        <is>
          <t>dur_elderly</t>
        </is>
      </c>
      <c r="B40" s="15" t="inlineStr">
        <is>
          <t>DUR 노인주의</t>
        </is>
      </c>
      <c r="C40" s="15" t="inlineStr">
        <is>
          <t>reason</t>
        </is>
      </c>
      <c r="D40" s="15" t="inlineStr">
        <is>
          <t>사유</t>
        </is>
      </c>
      <c r="E40" s="15" t="inlineStr">
        <is>
          <t>text</t>
        </is>
      </c>
      <c r="F40" s="16" t="inlineStr"/>
      <c r="G40" s="15" t="inlineStr"/>
      <c r="H40" s="16" t="inlineStr">
        <is>
          <t>N</t>
        </is>
      </c>
      <c r="I40" s="15" t="inlineStr"/>
      <c r="J40" s="15" t="inlineStr"/>
      <c r="K40" s="15" t="inlineStr">
        <is>
          <t>R-4</t>
        </is>
      </c>
      <c r="L40" s="16" t="inlineStr">
        <is>
          <t>기존</t>
        </is>
      </c>
      <c r="M40" s="16" t="inlineStr">
        <is>
          <t>v0.1</t>
        </is>
      </c>
      <c r="N40" s="15" t="inlineStr"/>
    </row>
    <row r="41">
      <c r="A41" s="19" t="inlineStr">
        <is>
          <t>dur_elderly</t>
        </is>
      </c>
      <c r="B41" s="15" t="inlineStr">
        <is>
          <t>DUR 노인주의</t>
        </is>
      </c>
      <c r="C41" s="15" t="inlineStr">
        <is>
          <t>notice_date</t>
        </is>
      </c>
      <c r="D41" s="15" t="inlineStr">
        <is>
          <t>고시일</t>
        </is>
      </c>
      <c r="E41" s="15" t="inlineStr">
        <is>
          <t>date</t>
        </is>
      </c>
      <c r="F41" s="16" t="inlineStr"/>
      <c r="G41" s="15" t="inlineStr"/>
      <c r="H41" s="16" t="inlineStr">
        <is>
          <t>N</t>
        </is>
      </c>
      <c r="I41" s="15" t="inlineStr"/>
      <c r="J41" s="15" t="inlineStr"/>
      <c r="K41" s="15" t="inlineStr">
        <is>
          <t>R-4</t>
        </is>
      </c>
      <c r="L41" s="16" t="inlineStr">
        <is>
          <t>기존</t>
        </is>
      </c>
      <c r="M41" s="16" t="inlineStr">
        <is>
          <t>v0.1</t>
        </is>
      </c>
      <c r="N41" s="15" t="inlineStr"/>
    </row>
    <row r="42">
      <c r="A42" s="19" t="inlineStr">
        <is>
          <t>dur_age_limit</t>
        </is>
      </c>
      <c r="B42" s="15" t="inlineStr">
        <is>
          <t>DUR 연령금기</t>
        </is>
      </c>
      <c r="C42" s="15" t="inlineStr">
        <is>
          <t>ingr_code</t>
        </is>
      </c>
      <c r="D42" s="15" t="inlineStr">
        <is>
          <t>성분 코드</t>
        </is>
      </c>
      <c r="E42" s="15" t="inlineStr">
        <is>
          <t>varchar(9)</t>
        </is>
      </c>
      <c r="F42" s="16" t="inlineStr">
        <is>
          <t>PK</t>
        </is>
      </c>
      <c r="G42" s="15" t="inlineStr"/>
      <c r="H42" s="16" t="inlineStr">
        <is>
          <t>Y</t>
        </is>
      </c>
      <c r="I42" s="15" t="inlineStr"/>
      <c r="J42" s="15" t="inlineStr"/>
      <c r="K42" s="15" t="inlineStr">
        <is>
          <t>R-4</t>
        </is>
      </c>
      <c r="L42" s="16" t="inlineStr">
        <is>
          <t>기존</t>
        </is>
      </c>
      <c r="M42" s="16" t="inlineStr">
        <is>
          <t>v0.1</t>
        </is>
      </c>
      <c r="N42" s="15" t="inlineStr"/>
    </row>
    <row r="43">
      <c r="A43" s="19" t="inlineStr">
        <is>
          <t>dur_age_limit</t>
        </is>
      </c>
      <c r="B43" s="15" t="inlineStr">
        <is>
          <t>DUR 연령금기</t>
        </is>
      </c>
      <c r="C43" s="15" t="inlineStr">
        <is>
          <t>age_value</t>
        </is>
      </c>
      <c r="D43" s="15" t="inlineStr">
        <is>
          <t>기준 나이</t>
        </is>
      </c>
      <c r="E43" s="15" t="inlineStr">
        <is>
          <t>smallint</t>
        </is>
      </c>
      <c r="F43" s="16" t="inlineStr"/>
      <c r="G43" s="15" t="inlineStr"/>
      <c r="H43" s="16" t="inlineStr">
        <is>
          <t>N</t>
        </is>
      </c>
      <c r="I43" s="15" t="inlineStr"/>
      <c r="J43" s="15" t="inlineStr"/>
      <c r="K43" s="15" t="inlineStr">
        <is>
          <t>R-4</t>
        </is>
      </c>
      <c r="L43" s="16" t="inlineStr">
        <is>
          <t>기존</t>
        </is>
      </c>
      <c r="M43" s="16" t="inlineStr">
        <is>
          <t>v0.1</t>
        </is>
      </c>
      <c r="N43" s="15" t="inlineStr"/>
    </row>
    <row r="44">
      <c r="A44" s="19" t="inlineStr">
        <is>
          <t>dur_age_limit</t>
        </is>
      </c>
      <c r="B44" s="15" t="inlineStr">
        <is>
          <t>DUR 연령금기</t>
        </is>
      </c>
      <c r="C44" s="15" t="inlineStr">
        <is>
          <t>age_unit</t>
        </is>
      </c>
      <c r="D44" s="15" t="inlineStr">
        <is>
          <t>나이 단위</t>
        </is>
      </c>
      <c r="E44" s="15" t="inlineStr">
        <is>
          <t>varchar(10)</t>
        </is>
      </c>
      <c r="F44" s="16" t="inlineStr"/>
      <c r="G44" s="15" t="inlineStr"/>
      <c r="H44" s="16" t="inlineStr">
        <is>
          <t>N</t>
        </is>
      </c>
      <c r="I44" s="15" t="inlineStr"/>
      <c r="J44" s="15" t="inlineStr">
        <is>
          <t>세 / 개월</t>
        </is>
      </c>
      <c r="K44" s="15" t="inlineStr">
        <is>
          <t>R-4</t>
        </is>
      </c>
      <c r="L44" s="16" t="inlineStr">
        <is>
          <t>기존</t>
        </is>
      </c>
      <c r="M44" s="16" t="inlineStr">
        <is>
          <t>v0.1</t>
        </is>
      </c>
      <c r="N44" s="15" t="inlineStr"/>
    </row>
    <row r="45">
      <c r="A45" s="19" t="inlineStr">
        <is>
          <t>dur_age_limit</t>
        </is>
      </c>
      <c r="B45" s="15" t="inlineStr">
        <is>
          <t>DUR 연령금기</t>
        </is>
      </c>
      <c r="C45" s="15" t="inlineStr">
        <is>
          <t>age_condition</t>
        </is>
      </c>
      <c r="D45" s="15" t="inlineStr">
        <is>
          <t>나이 조건</t>
        </is>
      </c>
      <c r="E45" s="15" t="inlineStr">
        <is>
          <t>varchar(10)</t>
        </is>
      </c>
      <c r="F45" s="16" t="inlineStr"/>
      <c r="G45" s="15" t="inlineStr"/>
      <c r="H45" s="16" t="inlineStr">
        <is>
          <t>N</t>
        </is>
      </c>
      <c r="I45" s="15" t="inlineStr"/>
      <c r="J45" s="15" t="inlineStr">
        <is>
          <t>미만 / 이하 / 이상</t>
        </is>
      </c>
      <c r="K45" s="15" t="inlineStr">
        <is>
          <t>R-4</t>
        </is>
      </c>
      <c r="L45" s="16" t="inlineStr">
        <is>
          <t>기존</t>
        </is>
      </c>
      <c r="M45" s="16" t="inlineStr">
        <is>
          <t>v0.1</t>
        </is>
      </c>
      <c r="N45" s="15" t="inlineStr"/>
    </row>
    <row r="46">
      <c r="A46" s="19" t="inlineStr">
        <is>
          <t>dur_age_limit</t>
        </is>
      </c>
      <c r="B46" s="15" t="inlineStr">
        <is>
          <t>DUR 연령금기</t>
        </is>
      </c>
      <c r="C46" s="15" t="inlineStr">
        <is>
          <t>reason</t>
        </is>
      </c>
      <c r="D46" s="15" t="inlineStr">
        <is>
          <t>사유</t>
        </is>
      </c>
      <c r="E46" s="15" t="inlineStr">
        <is>
          <t>text</t>
        </is>
      </c>
      <c r="F46" s="16" t="inlineStr"/>
      <c r="G46" s="15" t="inlineStr"/>
      <c r="H46" s="16" t="inlineStr">
        <is>
          <t>N</t>
        </is>
      </c>
      <c r="I46" s="15" t="inlineStr"/>
      <c r="J46" s="15" t="inlineStr"/>
      <c r="K46" s="15" t="inlineStr">
        <is>
          <t>R-4</t>
        </is>
      </c>
      <c r="L46" s="16" t="inlineStr">
        <is>
          <t>기존</t>
        </is>
      </c>
      <c r="M46" s="16" t="inlineStr">
        <is>
          <t>v0.1</t>
        </is>
      </c>
      <c r="N46" s="15" t="inlineStr"/>
    </row>
    <row r="47">
      <c r="A47" s="19" t="inlineStr">
        <is>
          <t>dur_age_limit</t>
        </is>
      </c>
      <c r="B47" s="15" t="inlineStr">
        <is>
          <t>DUR 연령금기</t>
        </is>
      </c>
      <c r="C47" s="15" t="inlineStr">
        <is>
          <t>notice_date</t>
        </is>
      </c>
      <c r="D47" s="15" t="inlineStr">
        <is>
          <t>고시일</t>
        </is>
      </c>
      <c r="E47" s="15" t="inlineStr">
        <is>
          <t>date</t>
        </is>
      </c>
      <c r="F47" s="16" t="inlineStr"/>
      <c r="G47" s="15" t="inlineStr"/>
      <c r="H47" s="16" t="inlineStr">
        <is>
          <t>N</t>
        </is>
      </c>
      <c r="I47" s="15" t="inlineStr"/>
      <c r="J47" s="15" t="inlineStr"/>
      <c r="K47" s="15" t="inlineStr">
        <is>
          <t>R-4</t>
        </is>
      </c>
      <c r="L47" s="16" t="inlineStr">
        <is>
          <t>기존</t>
        </is>
      </c>
      <c r="M47" s="16" t="inlineStr">
        <is>
          <t>v0.1</t>
        </is>
      </c>
      <c r="N47" s="15" t="inlineStr"/>
    </row>
    <row r="48">
      <c r="A48" s="19" t="inlineStr">
        <is>
          <t>dur_pregnancy</t>
        </is>
      </c>
      <c r="B48" s="15" t="inlineStr">
        <is>
          <t>DUR 임부금기</t>
        </is>
      </c>
      <c r="C48" s="15" t="inlineStr">
        <is>
          <t>ingr_code</t>
        </is>
      </c>
      <c r="D48" s="15" t="inlineStr">
        <is>
          <t>성분 코드</t>
        </is>
      </c>
      <c r="E48" s="15" t="inlineStr">
        <is>
          <t>varchar(9)</t>
        </is>
      </c>
      <c r="F48" s="16" t="inlineStr">
        <is>
          <t>PK</t>
        </is>
      </c>
      <c r="G48" s="15" t="inlineStr"/>
      <c r="H48" s="16" t="inlineStr">
        <is>
          <t>Y</t>
        </is>
      </c>
      <c r="I48" s="15" t="inlineStr"/>
      <c r="J48" s="15" t="inlineStr"/>
      <c r="K48" s="15" t="inlineStr">
        <is>
          <t>R-4</t>
        </is>
      </c>
      <c r="L48" s="16" t="inlineStr">
        <is>
          <t>기존</t>
        </is>
      </c>
      <c r="M48" s="16" t="inlineStr">
        <is>
          <t>v0.1</t>
        </is>
      </c>
      <c r="N48" s="15" t="inlineStr"/>
    </row>
    <row r="49">
      <c r="A49" s="19" t="inlineStr">
        <is>
          <t>dur_pregnancy</t>
        </is>
      </c>
      <c r="B49" s="15" t="inlineStr">
        <is>
          <t>DUR 임부금기</t>
        </is>
      </c>
      <c r="C49" s="15" t="inlineStr">
        <is>
          <t>grade</t>
        </is>
      </c>
      <c r="D49" s="15" t="inlineStr">
        <is>
          <t>금기 등급</t>
        </is>
      </c>
      <c r="E49" s="15" t="inlineStr">
        <is>
          <t>varchar(2)</t>
        </is>
      </c>
      <c r="F49" s="16" t="inlineStr"/>
      <c r="G49" s="15" t="inlineStr"/>
      <c r="H49" s="16" t="inlineStr">
        <is>
          <t>N</t>
        </is>
      </c>
      <c r="I49" s="15" t="inlineStr"/>
      <c r="J49" s="15" t="inlineStr">
        <is>
          <t>금기등급</t>
        </is>
      </c>
      <c r="K49" s="15" t="inlineStr">
        <is>
          <t>R-4</t>
        </is>
      </c>
      <c r="L49" s="16" t="inlineStr">
        <is>
          <t>기존</t>
        </is>
      </c>
      <c r="M49" s="16" t="inlineStr">
        <is>
          <t>v0.1</t>
        </is>
      </c>
      <c r="N49" s="15" t="inlineStr"/>
    </row>
    <row r="50">
      <c r="A50" s="19" t="inlineStr">
        <is>
          <t>dur_pregnancy</t>
        </is>
      </c>
      <c r="B50" s="15" t="inlineStr">
        <is>
          <t>DUR 임부금기</t>
        </is>
      </c>
      <c r="C50" s="15" t="inlineStr">
        <is>
          <t>reason</t>
        </is>
      </c>
      <c r="D50" s="15" t="inlineStr">
        <is>
          <t>사유</t>
        </is>
      </c>
      <c r="E50" s="15" t="inlineStr">
        <is>
          <t>text</t>
        </is>
      </c>
      <c r="F50" s="16" t="inlineStr"/>
      <c r="G50" s="15" t="inlineStr"/>
      <c r="H50" s="16" t="inlineStr">
        <is>
          <t>N</t>
        </is>
      </c>
      <c r="I50" s="15" t="inlineStr"/>
      <c r="J50" s="15" t="inlineStr"/>
      <c r="K50" s="15" t="inlineStr">
        <is>
          <t>R-4</t>
        </is>
      </c>
      <c r="L50" s="16" t="inlineStr">
        <is>
          <t>기존</t>
        </is>
      </c>
      <c r="M50" s="16" t="inlineStr">
        <is>
          <t>v0.1</t>
        </is>
      </c>
      <c r="N50" s="15" t="inlineStr"/>
    </row>
    <row r="51">
      <c r="A51" s="19" t="inlineStr">
        <is>
          <t>dur_pregnancy</t>
        </is>
      </c>
      <c r="B51" s="15" t="inlineStr">
        <is>
          <t>DUR 임부금기</t>
        </is>
      </c>
      <c r="C51" s="15" t="inlineStr">
        <is>
          <t>notice_date</t>
        </is>
      </c>
      <c r="D51" s="15" t="inlineStr">
        <is>
          <t>고시일</t>
        </is>
      </c>
      <c r="E51" s="15" t="inlineStr">
        <is>
          <t>date</t>
        </is>
      </c>
      <c r="F51" s="16" t="inlineStr"/>
      <c r="G51" s="15" t="inlineStr"/>
      <c r="H51" s="16" t="inlineStr">
        <is>
          <t>N</t>
        </is>
      </c>
      <c r="I51" s="15" t="inlineStr"/>
      <c r="J51" s="15" t="inlineStr"/>
      <c r="K51" s="15" t="inlineStr">
        <is>
          <t>R-4</t>
        </is>
      </c>
      <c r="L51" s="16" t="inlineStr">
        <is>
          <t>기존</t>
        </is>
      </c>
      <c r="M51" s="16" t="inlineStr">
        <is>
          <t>v0.1</t>
        </is>
      </c>
      <c r="N51" s="15" t="inlineStr"/>
    </row>
    <row r="52">
      <c r="A52" s="19" t="inlineStr">
        <is>
          <t>dur_dose_limit</t>
        </is>
      </c>
      <c r="B52" s="15" t="inlineStr">
        <is>
          <t>DUR 용량주의</t>
        </is>
      </c>
      <c r="C52" s="15" t="inlineStr">
        <is>
          <t>ingr_code</t>
        </is>
      </c>
      <c r="D52" s="15" t="inlineStr">
        <is>
          <t>성분 코드</t>
        </is>
      </c>
      <c r="E52" s="15" t="inlineStr">
        <is>
          <t>varchar(9)</t>
        </is>
      </c>
      <c r="F52" s="16" t="inlineStr">
        <is>
          <t>PK</t>
        </is>
      </c>
      <c r="G52" s="15" t="inlineStr"/>
      <c r="H52" s="16" t="inlineStr">
        <is>
          <t>Y</t>
        </is>
      </c>
      <c r="I52" s="15" t="inlineStr"/>
      <c r="J52" s="15" t="inlineStr"/>
      <c r="K52" s="15" t="inlineStr">
        <is>
          <t>R-4</t>
        </is>
      </c>
      <c r="L52" s="16" t="inlineStr">
        <is>
          <t>기존</t>
        </is>
      </c>
      <c r="M52" s="16" t="inlineStr">
        <is>
          <t>v0.1</t>
        </is>
      </c>
      <c r="N52" s="15" t="inlineStr">
        <is>
          <t>m.db TBDUC200/202. prescription_items의 1일 총량과 비교해 과용량 검출</t>
        </is>
      </c>
    </row>
    <row r="53">
      <c r="A53" s="19" t="inlineStr">
        <is>
          <t>dur_dose_limit</t>
        </is>
      </c>
      <c r="B53" s="15" t="inlineStr">
        <is>
          <t>DUR 용량주의</t>
        </is>
      </c>
      <c r="C53" s="15" t="inlineStr">
        <is>
          <t>max_daily_qty</t>
        </is>
      </c>
      <c r="D53" s="15" t="inlineStr">
        <is>
          <t>1일 최대 투여량</t>
        </is>
      </c>
      <c r="E53" s="15" t="inlineStr">
        <is>
          <t>decimal(12,3)</t>
        </is>
      </c>
      <c r="F53" s="16" t="inlineStr"/>
      <c r="G53" s="15" t="inlineStr"/>
      <c r="H53" s="16" t="inlineStr">
        <is>
          <t>N</t>
        </is>
      </c>
      <c r="I53" s="15" t="inlineStr"/>
      <c r="J53" s="15" t="inlineStr">
        <is>
          <t>1일 최대 투여 기준량</t>
        </is>
      </c>
      <c r="K53" s="15" t="inlineStr">
        <is>
          <t>R-4</t>
        </is>
      </c>
      <c r="L53" s="16" t="inlineStr">
        <is>
          <t>기존</t>
        </is>
      </c>
      <c r="M53" s="16" t="inlineStr">
        <is>
          <t>v0.1</t>
        </is>
      </c>
      <c r="N53" s="15" t="inlineStr"/>
    </row>
    <row r="54">
      <c r="A54" s="19" t="inlineStr">
        <is>
          <t>dur_dose_limit</t>
        </is>
      </c>
      <c r="B54" s="15" t="inlineStr">
        <is>
          <t>DUR 용량주의</t>
        </is>
      </c>
      <c r="C54" s="15" t="inlineStr">
        <is>
          <t>max_daily_text</t>
        </is>
      </c>
      <c r="D54" s="15" t="inlineStr">
        <is>
          <t>1일 최대 투여량 (원문)</t>
        </is>
      </c>
      <c r="E54" s="15" t="inlineStr">
        <is>
          <t>varchar(100)</t>
        </is>
      </c>
      <c r="F54" s="16" t="inlineStr"/>
      <c r="G54" s="15" t="inlineStr"/>
      <c r="H54" s="16" t="inlineStr">
        <is>
          <t>N</t>
        </is>
      </c>
      <c r="I54" s="15" t="inlineStr"/>
      <c r="J54" s="15" t="inlineStr"/>
      <c r="K54" s="15" t="inlineStr">
        <is>
          <t>R-4</t>
        </is>
      </c>
      <c r="L54" s="16" t="inlineStr">
        <is>
          <t>기존</t>
        </is>
      </c>
      <c r="M54" s="16" t="inlineStr">
        <is>
          <t>v0.1</t>
        </is>
      </c>
      <c r="N54" s="15" t="inlineStr"/>
    </row>
    <row r="55">
      <c r="A55" s="19" t="inlineStr">
        <is>
          <t>dur_dose_limit</t>
        </is>
      </c>
      <c r="B55" s="15" t="inlineStr">
        <is>
          <t>DUR 용량주의</t>
        </is>
      </c>
      <c r="C55" s="15" t="inlineStr">
        <is>
          <t>max_period_days</t>
        </is>
      </c>
      <c r="D55" s="15" t="inlineStr">
        <is>
          <t>최대 투여기간</t>
        </is>
      </c>
      <c r="E55" s="15" t="inlineStr">
        <is>
          <t>smallint</t>
        </is>
      </c>
      <c r="F55" s="16" t="inlineStr"/>
      <c r="G55" s="15" t="inlineStr"/>
      <c r="H55" s="16" t="inlineStr">
        <is>
          <t>N</t>
        </is>
      </c>
      <c r="I55" s="15" t="inlineStr"/>
      <c r="J55" s="15" t="inlineStr">
        <is>
          <t>최대 투여기간</t>
        </is>
      </c>
      <c r="K55" s="15" t="inlineStr">
        <is>
          <t>R-4</t>
        </is>
      </c>
      <c r="L55" s="16" t="inlineStr">
        <is>
          <t>기존</t>
        </is>
      </c>
      <c r="M55" s="16" t="inlineStr">
        <is>
          <t>v0.1</t>
        </is>
      </c>
      <c r="N55" s="15" t="inlineStr"/>
    </row>
    <row r="56">
      <c r="A56" s="19" t="inlineStr">
        <is>
          <t>dup_ingredient</t>
        </is>
      </c>
      <c r="B56" s="15" t="inlineStr">
        <is>
          <t>동일성분 중복</t>
        </is>
      </c>
      <c r="C56" s="15" t="inlineStr">
        <is>
          <t>edi_code</t>
        </is>
      </c>
      <c r="D56" s="15" t="inlineStr">
        <is>
          <t>EDI 제품코드</t>
        </is>
      </c>
      <c r="E56" s="15" t="inlineStr">
        <is>
          <t>varchar(9)</t>
        </is>
      </c>
      <c r="F56" s="16" t="inlineStr">
        <is>
          <t>PK · FK</t>
        </is>
      </c>
      <c r="G56" s="15" t="inlineStr">
        <is>
          <t>drug_products.edi_code</t>
        </is>
      </c>
      <c r="H56" s="16" t="inlineStr">
        <is>
          <t>Y</t>
        </is>
      </c>
      <c r="I56" s="15" t="inlineStr"/>
      <c r="J56" s="15" t="inlineStr"/>
      <c r="K56" s="15" t="inlineStr">
        <is>
          <t>R-4</t>
        </is>
      </c>
      <c r="L56" s="16" t="inlineStr">
        <is>
          <t>기존</t>
        </is>
      </c>
      <c r="M56" s="16" t="inlineStr">
        <is>
          <t>v0.1</t>
        </is>
      </c>
      <c r="N56" s="15" t="inlineStr">
        <is>
          <t>동일성분 중복점검 29,051품목. dur_ingr_code가 같으면 동일 성분</t>
        </is>
      </c>
    </row>
    <row r="57">
      <c r="A57" s="19" t="inlineStr">
        <is>
          <t>dup_ingredient</t>
        </is>
      </c>
      <c r="B57" s="15" t="inlineStr">
        <is>
          <t>동일성분 중복</t>
        </is>
      </c>
      <c r="C57" s="15" t="inlineStr">
        <is>
          <t>dur_ingr_seq</t>
        </is>
      </c>
      <c r="D57" s="15" t="inlineStr">
        <is>
          <t>성분 순번</t>
        </is>
      </c>
      <c r="E57" s="15" t="inlineStr">
        <is>
          <t>smallint</t>
        </is>
      </c>
      <c r="F57" s="16" t="inlineStr">
        <is>
          <t>PK</t>
        </is>
      </c>
      <c r="G57" s="15" t="inlineStr"/>
      <c r="H57" s="16" t="inlineStr">
        <is>
          <t>Y</t>
        </is>
      </c>
      <c r="I57" s="15" t="inlineStr"/>
      <c r="J57" s="15" t="inlineStr">
        <is>
          <t>복합제는 성분 1~4개</t>
        </is>
      </c>
      <c r="K57" s="15" t="inlineStr">
        <is>
          <t>R-4</t>
        </is>
      </c>
      <c r="L57" s="16" t="inlineStr">
        <is>
          <t>기존</t>
        </is>
      </c>
      <c r="M57" s="16" t="inlineStr">
        <is>
          <t>v0.1</t>
        </is>
      </c>
      <c r="N57" s="15" t="inlineStr"/>
    </row>
    <row r="58">
      <c r="A58" s="19" t="inlineStr">
        <is>
          <t>dup_ingredient</t>
        </is>
      </c>
      <c r="B58" s="15" t="inlineStr">
        <is>
          <t>동일성분 중복</t>
        </is>
      </c>
      <c r="C58" s="15" t="inlineStr">
        <is>
          <t>dur_ingr_code</t>
        </is>
      </c>
      <c r="D58" s="15" t="inlineStr">
        <is>
          <t>DUR 성분 코드</t>
        </is>
      </c>
      <c r="E58" s="15" t="inlineStr">
        <is>
          <t>varchar(10)</t>
        </is>
      </c>
      <c r="F58" s="16" t="inlineStr"/>
      <c r="G58" s="15" t="inlineStr"/>
      <c r="H58" s="16" t="inlineStr">
        <is>
          <t>Y</t>
        </is>
      </c>
      <c r="I58" s="15" t="inlineStr"/>
      <c r="J58" s="15" t="inlineStr">
        <is>
          <t>DH##### 형식</t>
        </is>
      </c>
      <c r="K58" s="15" t="inlineStr">
        <is>
          <t>R-4</t>
        </is>
      </c>
      <c r="L58" s="16" t="inlineStr">
        <is>
          <t>기존</t>
        </is>
      </c>
      <c r="M58" s="16" t="inlineStr">
        <is>
          <t>v0.1</t>
        </is>
      </c>
      <c r="N58" s="15" t="inlineStr"/>
    </row>
    <row r="59">
      <c r="A59" s="19" t="inlineStr">
        <is>
          <t>dup_ingredient</t>
        </is>
      </c>
      <c r="B59" s="15" t="inlineStr">
        <is>
          <t>동일성분 중복</t>
        </is>
      </c>
      <c r="C59" s="15" t="inlineStr">
        <is>
          <t>dur_ingr_name</t>
        </is>
      </c>
      <c r="D59" s="15" t="inlineStr">
        <is>
          <t>DUR 성분명</t>
        </is>
      </c>
      <c r="E59" s="15" t="inlineStr">
        <is>
          <t>varchar(300)</t>
        </is>
      </c>
      <c r="F59" s="16" t="inlineStr"/>
      <c r="G59" s="15" t="inlineStr"/>
      <c r="H59" s="16" t="inlineStr">
        <is>
          <t>N</t>
        </is>
      </c>
      <c r="I59" s="15" t="inlineStr"/>
      <c r="J59" s="15" t="inlineStr"/>
      <c r="K59" s="15" t="inlineStr">
        <is>
          <t>R-4</t>
        </is>
      </c>
      <c r="L59" s="16" t="inlineStr">
        <is>
          <t>기존</t>
        </is>
      </c>
      <c r="M59" s="16" t="inlineStr">
        <is>
          <t>v0.1</t>
        </is>
      </c>
      <c r="N59" s="15" t="inlineStr"/>
    </row>
    <row r="60">
      <c r="A60" s="19" t="inlineStr">
        <is>
          <t>dup_efficacy</t>
        </is>
      </c>
      <c r="B60" s="15" t="inlineStr">
        <is>
          <t>효능군 중복</t>
        </is>
      </c>
      <c r="C60" s="15" t="inlineStr">
        <is>
          <t>edi_code</t>
        </is>
      </c>
      <c r="D60" s="15" t="inlineStr">
        <is>
          <t>EDI 제품코드</t>
        </is>
      </c>
      <c r="E60" s="15" t="inlineStr">
        <is>
          <t>varchar(9)</t>
        </is>
      </c>
      <c r="F60" s="16" t="inlineStr">
        <is>
          <t>PK · FK</t>
        </is>
      </c>
      <c r="G60" s="15" t="inlineStr">
        <is>
          <t>drug_products.edi_code</t>
        </is>
      </c>
      <c r="H60" s="16" t="inlineStr">
        <is>
          <t>Y</t>
        </is>
      </c>
      <c r="I60" s="15" t="inlineStr"/>
      <c r="J60" s="15" t="inlineStr"/>
      <c r="K60" s="15" t="inlineStr">
        <is>
          <t>R-4</t>
        </is>
      </c>
      <c r="L60" s="16" t="inlineStr">
        <is>
          <t>기존</t>
        </is>
      </c>
      <c r="M60" s="16" t="inlineStr">
        <is>
          <t>v0.1</t>
        </is>
      </c>
      <c r="N60" s="15" t="inlineStr">
        <is>
          <t>효능군중복 11,718품목 / 점검코드 278개</t>
        </is>
      </c>
    </row>
    <row r="61">
      <c r="A61" s="19" t="inlineStr">
        <is>
          <t>dup_efficacy</t>
        </is>
      </c>
      <c r="B61" s="15" t="inlineStr">
        <is>
          <t>효능군 중복</t>
        </is>
      </c>
      <c r="C61" s="15" t="inlineStr">
        <is>
          <t>efficacy_group</t>
        </is>
      </c>
      <c r="D61" s="15" t="inlineStr">
        <is>
          <t>효능군</t>
        </is>
      </c>
      <c r="E61" s="15" t="inlineStr">
        <is>
          <t>varchar(50)</t>
        </is>
      </c>
      <c r="F61" s="16" t="inlineStr"/>
      <c r="G61" s="15" t="inlineStr"/>
      <c r="H61" s="16" t="inlineStr">
        <is>
          <t>N</t>
        </is>
      </c>
      <c r="I61" s="15" t="inlineStr"/>
      <c r="J61" s="15" t="inlineStr">
        <is>
          <t>혈압강하작용의약품 (B) 등 9개</t>
        </is>
      </c>
      <c r="K61" s="15" t="inlineStr">
        <is>
          <t>R-4</t>
        </is>
      </c>
      <c r="L61" s="16" t="inlineStr">
        <is>
          <t>기존</t>
        </is>
      </c>
      <c r="M61" s="16" t="inlineStr">
        <is>
          <t>v0.1</t>
        </is>
      </c>
      <c r="N61" s="15" t="inlineStr"/>
    </row>
    <row r="62">
      <c r="A62" s="19" t="inlineStr">
        <is>
          <t>dup_efficacy</t>
        </is>
      </c>
      <c r="B62" s="15" t="inlineStr">
        <is>
          <t>효능군 중복</t>
        </is>
      </c>
      <c r="C62" s="15" t="inlineStr">
        <is>
          <t>check_code</t>
        </is>
      </c>
      <c r="D62" s="15" t="inlineStr">
        <is>
          <t>효능군 점검 코드</t>
        </is>
      </c>
      <c r="E62" s="15" t="inlineStr">
        <is>
          <t>varchar(10)</t>
        </is>
      </c>
      <c r="F62" s="16" t="inlineStr"/>
      <c r="G62" s="15" t="inlineStr"/>
      <c r="H62" s="16" t="inlineStr">
        <is>
          <t>Y</t>
        </is>
      </c>
      <c r="I62" s="15" t="inlineStr"/>
      <c r="J62" s="15" t="inlineStr">
        <is>
          <t>효능군중복점검코드 — 같으면 중복</t>
        </is>
      </c>
      <c r="K62" s="15" t="inlineStr">
        <is>
          <t>R-4</t>
        </is>
      </c>
      <c r="L62" s="16" t="inlineStr">
        <is>
          <t>기존</t>
        </is>
      </c>
      <c r="M62" s="16" t="inlineStr">
        <is>
          <t>v0.1</t>
        </is>
      </c>
      <c r="N62" s="15" t="inlineStr"/>
    </row>
    <row r="63">
      <c r="A63" s="19" t="inlineStr">
        <is>
          <t>dup_efficacy</t>
        </is>
      </c>
      <c r="B63" s="15" t="inlineStr">
        <is>
          <t>효능군 중복</t>
        </is>
      </c>
      <c r="C63" s="15" t="inlineStr">
        <is>
          <t>gnl_name</t>
        </is>
      </c>
      <c r="D63" s="15" t="inlineStr">
        <is>
          <t>일반명</t>
        </is>
      </c>
      <c r="E63" s="15" t="inlineStr">
        <is>
          <t>varchar(300)</t>
        </is>
      </c>
      <c r="F63" s="16" t="inlineStr"/>
      <c r="G63" s="15" t="inlineStr"/>
      <c r="H63" s="16" t="inlineStr">
        <is>
          <t>N</t>
        </is>
      </c>
      <c r="I63" s="15" t="inlineStr"/>
      <c r="J63" s="15" t="inlineStr"/>
      <c r="K63" s="15" t="inlineStr">
        <is>
          <t>R-4</t>
        </is>
      </c>
      <c r="L63" s="16" t="inlineStr">
        <is>
          <t>기존</t>
        </is>
      </c>
      <c r="M63" s="16" t="inlineStr">
        <is>
          <t>v0.1</t>
        </is>
      </c>
      <c r="N63" s="15" t="inlineStr"/>
    </row>
    <row r="64">
      <c r="A64" s="19" t="inlineStr">
        <is>
          <t>diseases</t>
        </is>
      </c>
      <c r="B64" s="15" t="inlineStr">
        <is>
          <t>상병 (KCD)</t>
        </is>
      </c>
      <c r="C64" s="15" t="inlineStr">
        <is>
          <t>code</t>
        </is>
      </c>
      <c r="D64" s="15" t="inlineStr">
        <is>
          <t>상병 코드</t>
        </is>
      </c>
      <c r="E64" s="15" t="inlineStr">
        <is>
          <t>varchar(10)</t>
        </is>
      </c>
      <c r="F64" s="16" t="inlineStr">
        <is>
          <t>PK</t>
        </is>
      </c>
      <c r="G64" s="15" t="inlineStr"/>
      <c r="H64" s="16" t="inlineStr">
        <is>
          <t>Y</t>
        </is>
      </c>
      <c r="I64" s="15" t="inlineStr"/>
      <c r="J64" s="15" t="inlineStr">
        <is>
          <t>상병기호 (KCD)</t>
        </is>
      </c>
      <c r="K64" s="15" t="inlineStr">
        <is>
          <t>O-2 · R-6</t>
        </is>
      </c>
      <c r="L64" s="16" t="inlineStr">
        <is>
          <t>기존</t>
        </is>
      </c>
      <c r="M64" s="16" t="inlineStr">
        <is>
          <t>v0.1</t>
        </is>
      </c>
      <c r="N64" s="15" t="inlineStr">
        <is>
          <t>심평원 상병마스터 47,798건</t>
        </is>
      </c>
    </row>
    <row r="65">
      <c r="A65" s="19" t="inlineStr">
        <is>
          <t>diseases</t>
        </is>
      </c>
      <c r="B65" s="15" t="inlineStr">
        <is>
          <t>상병 (KCD)</t>
        </is>
      </c>
      <c r="C65" s="15" t="inlineStr">
        <is>
          <t>name_kr</t>
        </is>
      </c>
      <c r="D65" s="15" t="inlineStr">
        <is>
          <t>상병명 (한글)</t>
        </is>
      </c>
      <c r="E65" s="15" t="inlineStr">
        <is>
          <t>varchar(300)</t>
        </is>
      </c>
      <c r="F65" s="16" t="inlineStr"/>
      <c r="G65" s="15" t="inlineStr"/>
      <c r="H65" s="16" t="inlineStr">
        <is>
          <t>Y</t>
        </is>
      </c>
      <c r="I65" s="15" t="inlineStr"/>
      <c r="J65" s="15" t="inlineStr"/>
      <c r="K65" s="15" t="inlineStr">
        <is>
          <t>O-2 · R-6</t>
        </is>
      </c>
      <c r="L65" s="16" t="inlineStr">
        <is>
          <t>기존</t>
        </is>
      </c>
      <c r="M65" s="16" t="inlineStr">
        <is>
          <t>v0.1</t>
        </is>
      </c>
      <c r="N65" s="15" t="inlineStr"/>
    </row>
    <row r="66">
      <c r="A66" s="19" t="inlineStr">
        <is>
          <t>diseases</t>
        </is>
      </c>
      <c r="B66" s="15" t="inlineStr">
        <is>
          <t>상병 (KCD)</t>
        </is>
      </c>
      <c r="C66" s="15" t="inlineStr">
        <is>
          <t>name_en</t>
        </is>
      </c>
      <c r="D66" s="15" t="inlineStr">
        <is>
          <t>상병명 (영문)</t>
        </is>
      </c>
      <c r="E66" s="15" t="inlineStr">
        <is>
          <t>varchar(500)</t>
        </is>
      </c>
      <c r="F66" s="16" t="inlineStr"/>
      <c r="G66" s="15" t="inlineStr"/>
      <c r="H66" s="16" t="inlineStr">
        <is>
          <t>N</t>
        </is>
      </c>
      <c r="I66" s="15" t="inlineStr"/>
      <c r="J66" s="15" t="inlineStr"/>
      <c r="K66" s="15" t="inlineStr">
        <is>
          <t>O-2 · R-6</t>
        </is>
      </c>
      <c r="L66" s="16" t="inlineStr">
        <is>
          <t>기존</t>
        </is>
      </c>
      <c r="M66" s="16" t="inlineStr">
        <is>
          <t>v0.1</t>
        </is>
      </c>
      <c r="N66" s="15" t="inlineStr"/>
    </row>
    <row r="67">
      <c r="A67" s="19" t="inlineStr">
        <is>
          <t>diseases</t>
        </is>
      </c>
      <c r="B67" s="15" t="inlineStr">
        <is>
          <t>상병 (KCD)</t>
        </is>
      </c>
      <c r="C67" s="15" t="inlineStr">
        <is>
          <t>is_complete</t>
        </is>
      </c>
      <c r="D67" s="15" t="inlineStr">
        <is>
          <t>완전코드 여부</t>
        </is>
      </c>
      <c r="E67" s="15" t="inlineStr">
        <is>
          <t>boolean</t>
        </is>
      </c>
      <c r="F67" s="16" t="inlineStr"/>
      <c r="G67" s="15" t="inlineStr"/>
      <c r="H67" s="16" t="inlineStr">
        <is>
          <t>N</t>
        </is>
      </c>
      <c r="I67" s="15" t="inlineStr"/>
      <c r="J67" s="15" t="inlineStr">
        <is>
          <t>완전코드 여부</t>
        </is>
      </c>
      <c r="K67" s="15" t="inlineStr">
        <is>
          <t>O-2 · R-6</t>
        </is>
      </c>
      <c r="L67" s="16" t="inlineStr">
        <is>
          <t>기존</t>
        </is>
      </c>
      <c r="M67" s="16" t="inlineStr">
        <is>
          <t>v0.1</t>
        </is>
      </c>
      <c r="N67" s="15" t="inlineStr"/>
    </row>
    <row r="68">
      <c r="A68" s="19" t="inlineStr">
        <is>
          <t>diseases</t>
        </is>
      </c>
      <c r="B68" s="15" t="inlineStr">
        <is>
          <t>상병 (KCD)</t>
        </is>
      </c>
      <c r="C68" s="15" t="inlineStr">
        <is>
          <t>main_usable</t>
        </is>
      </c>
      <c r="D68" s="15" t="inlineStr">
        <is>
          <t>주상병 사용 가능</t>
        </is>
      </c>
      <c r="E68" s="15" t="inlineStr">
        <is>
          <t>boolean</t>
        </is>
      </c>
      <c r="F68" s="16" t="inlineStr"/>
      <c r="G68" s="15" t="inlineStr"/>
      <c r="H68" s="16" t="inlineStr">
        <is>
          <t>N</t>
        </is>
      </c>
      <c r="I68" s="15" t="inlineStr"/>
      <c r="J68" s="15" t="inlineStr">
        <is>
          <t>주상병 사용 가능 여부</t>
        </is>
      </c>
      <c r="K68" s="15" t="inlineStr">
        <is>
          <t>O-2 · R-6</t>
        </is>
      </c>
      <c r="L68" s="16" t="inlineStr">
        <is>
          <t>기존</t>
        </is>
      </c>
      <c r="M68" s="16" t="inlineStr">
        <is>
          <t>v0.1</t>
        </is>
      </c>
      <c r="N68" s="15" t="inlineStr"/>
    </row>
    <row r="69">
      <c r="A69" s="19" t="inlineStr">
        <is>
          <t>diseases</t>
        </is>
      </c>
      <c r="B69" s="15" t="inlineStr">
        <is>
          <t>상병 (KCD)</t>
        </is>
      </c>
      <c r="C69" s="15" t="inlineStr">
        <is>
          <t>sex_limit</t>
        </is>
      </c>
      <c r="D69" s="15" t="inlineStr">
        <is>
          <t>성별 제한</t>
        </is>
      </c>
      <c r="E69" s="15" t="inlineStr">
        <is>
          <t>varchar(1)</t>
        </is>
      </c>
      <c r="F69" s="16" t="inlineStr"/>
      <c r="G69" s="15" t="inlineStr"/>
      <c r="H69" s="16" t="inlineStr">
        <is>
          <t>N</t>
        </is>
      </c>
      <c r="I69" s="15" t="inlineStr"/>
      <c r="J69" s="15" t="inlineStr"/>
      <c r="K69" s="15" t="inlineStr">
        <is>
          <t>O-2 · R-6</t>
        </is>
      </c>
      <c r="L69" s="16" t="inlineStr">
        <is>
          <t>기존</t>
        </is>
      </c>
      <c r="M69" s="16" t="inlineStr">
        <is>
          <t>v0.1</t>
        </is>
      </c>
      <c r="N69" s="15" t="inlineStr"/>
    </row>
    <row r="70">
      <c r="A70" s="19" t="inlineStr">
        <is>
          <t>diseases</t>
        </is>
      </c>
      <c r="B70" s="15" t="inlineStr">
        <is>
          <t>상병 (KCD)</t>
        </is>
      </c>
      <c r="C70" s="15" t="inlineStr">
        <is>
          <t>age_min</t>
        </is>
      </c>
      <c r="D70" s="15" t="inlineStr">
        <is>
          <t>최소 나이</t>
        </is>
      </c>
      <c r="E70" s="15" t="inlineStr">
        <is>
          <t>smallint</t>
        </is>
      </c>
      <c r="F70" s="16" t="inlineStr"/>
      <c r="G70" s="15" t="inlineStr"/>
      <c r="H70" s="16" t="inlineStr">
        <is>
          <t>N</t>
        </is>
      </c>
      <c r="I70" s="15" t="inlineStr"/>
      <c r="J70" s="15" t="inlineStr"/>
      <c r="K70" s="15" t="inlineStr">
        <is>
          <t>O-2 · R-6</t>
        </is>
      </c>
      <c r="L70" s="16" t="inlineStr">
        <is>
          <t>기존</t>
        </is>
      </c>
      <c r="M70" s="16" t="inlineStr">
        <is>
          <t>v0.1</t>
        </is>
      </c>
      <c r="N70" s="15" t="inlineStr"/>
    </row>
    <row r="71">
      <c r="A71" s="19" t="inlineStr">
        <is>
          <t>diseases</t>
        </is>
      </c>
      <c r="B71" s="15" t="inlineStr">
        <is>
          <t>상병 (KCD)</t>
        </is>
      </c>
      <c r="C71" s="15" t="inlineStr">
        <is>
          <t>age_max</t>
        </is>
      </c>
      <c r="D71" s="15" t="inlineStr">
        <is>
          <t>최대 나이</t>
        </is>
      </c>
      <c r="E71" s="15" t="inlineStr">
        <is>
          <t>smallint</t>
        </is>
      </c>
      <c r="F71" s="16" t="inlineStr"/>
      <c r="G71" s="15" t="inlineStr"/>
      <c r="H71" s="16" t="inlineStr">
        <is>
          <t>N</t>
        </is>
      </c>
      <c r="I71" s="15" t="inlineStr"/>
      <c r="J71" s="15" t="inlineStr"/>
      <c r="K71" s="15" t="inlineStr">
        <is>
          <t>O-2 · R-6</t>
        </is>
      </c>
      <c r="L71" s="16" t="inlineStr">
        <is>
          <t>기존</t>
        </is>
      </c>
      <c r="M71" s="16" t="inlineStr">
        <is>
          <t>v0.1</t>
        </is>
      </c>
      <c r="N71" s="15" t="inlineStr"/>
    </row>
    <row r="72">
      <c r="A72" s="19" t="inlineStr">
        <is>
          <t>checkup_items</t>
        </is>
      </c>
      <c r="B72" s="15" t="inlineStr">
        <is>
          <t>건강검진 항목 (보류)</t>
        </is>
      </c>
      <c r="C72" s="15" t="inlineStr">
        <is>
          <t>code</t>
        </is>
      </c>
      <c r="D72" s="15" t="inlineStr">
        <is>
          <t>검사 항목 코드</t>
        </is>
      </c>
      <c r="E72" s="15" t="inlineStr">
        <is>
          <t>varchar(8)</t>
        </is>
      </c>
      <c r="F72" s="16" t="inlineStr">
        <is>
          <t>PK</t>
        </is>
      </c>
      <c r="G72" s="15" t="inlineStr"/>
      <c r="H72" s="16" t="inlineStr">
        <is>
          <t>Y</t>
        </is>
      </c>
      <c r="I72" s="15" t="inlineStr"/>
      <c r="J72" s="15" t="inlineStr">
        <is>
          <t>건강검진검사항목코드</t>
        </is>
      </c>
      <c r="K72" s="15" t="inlineStr">
        <is>
          <t>REQ-015</t>
        </is>
      </c>
      <c r="L72" s="16" t="inlineStr">
        <is>
          <t>기존</t>
        </is>
      </c>
      <c r="M72" s="16" t="inlineStr">
        <is>
          <t>v0.1</t>
        </is>
      </c>
      <c r="N72" s="15" t="inlineStr">
        <is>
          <t>공단 건강검진검사항목코드 1,953건</t>
        </is>
      </c>
    </row>
    <row r="73">
      <c r="A73" s="19" t="inlineStr">
        <is>
          <t>checkup_items</t>
        </is>
      </c>
      <c r="B73" s="15" t="inlineStr">
        <is>
          <t>건강검진 항목 (보류)</t>
        </is>
      </c>
      <c r="C73" s="15" t="inlineStr">
        <is>
          <t>name</t>
        </is>
      </c>
      <c r="D73" s="15" t="inlineStr">
        <is>
          <t>검사 항목명</t>
        </is>
      </c>
      <c r="E73" s="15" t="inlineStr">
        <is>
          <t>varchar(200)</t>
        </is>
      </c>
      <c r="F73" s="16" t="inlineStr"/>
      <c r="G73" s="15" t="inlineStr"/>
      <c r="H73" s="16" t="inlineStr">
        <is>
          <t>Y</t>
        </is>
      </c>
      <c r="I73" s="15" t="inlineStr"/>
      <c r="J73" s="15" t="inlineStr"/>
      <c r="K73" s="15" t="inlineStr">
        <is>
          <t>REQ-015</t>
        </is>
      </c>
      <c r="L73" s="16" t="inlineStr">
        <is>
          <t>기존</t>
        </is>
      </c>
      <c r="M73" s="16" t="inlineStr">
        <is>
          <t>v0.1</t>
        </is>
      </c>
      <c r="N73" s="15" t="inlineStr"/>
    </row>
    <row r="74">
      <c r="A74" s="19" t="inlineStr">
        <is>
          <t>checkup_items</t>
        </is>
      </c>
      <c r="B74" s="15" t="inlineStr">
        <is>
          <t>건강검진 항목 (보류)</t>
        </is>
      </c>
      <c r="C74" s="15" t="inlineStr">
        <is>
          <t>type_code</t>
        </is>
      </c>
      <c r="D74" s="15" t="inlineStr">
        <is>
          <t>검진 유형</t>
        </is>
      </c>
      <c r="E74" s="15" t="inlineStr">
        <is>
          <t>varchar(1)</t>
        </is>
      </c>
      <c r="F74" s="16" t="inlineStr"/>
      <c r="G74" s="15" t="inlineStr"/>
      <c r="H74" s="16" t="inlineStr">
        <is>
          <t>N</t>
        </is>
      </c>
      <c r="I74" s="15" t="inlineStr"/>
      <c r="J74" s="15" t="inlineStr">
        <is>
          <t>A=일반건강검진 1차</t>
        </is>
      </c>
      <c r="K74" s="15" t="inlineStr">
        <is>
          <t>REQ-015</t>
        </is>
      </c>
      <c r="L74" s="16" t="inlineStr">
        <is>
          <t>기존</t>
        </is>
      </c>
      <c r="M74" s="16" t="inlineStr">
        <is>
          <t>v0.1</t>
        </is>
      </c>
      <c r="N74" s="15" t="inlineStr"/>
    </row>
    <row r="75">
      <c r="A75" s="19" t="inlineStr">
        <is>
          <t>checkup_items</t>
        </is>
      </c>
      <c r="B75" s="15" t="inlineStr">
        <is>
          <t>건강검진 항목 (보류)</t>
        </is>
      </c>
      <c r="C75" s="15" t="inlineStr">
        <is>
          <t>sub_code</t>
        </is>
      </c>
      <c r="D75" s="15" t="inlineStr">
        <is>
          <t>세부 코드</t>
        </is>
      </c>
      <c r="E75" s="15" t="inlineStr">
        <is>
          <t>varchar(4)</t>
        </is>
      </c>
      <c r="F75" s="16" t="inlineStr"/>
      <c r="G75" s="15" t="inlineStr"/>
      <c r="H75" s="16" t="inlineStr">
        <is>
          <t>N</t>
        </is>
      </c>
      <c r="I75" s="15" t="inlineStr"/>
      <c r="J75" s="15" t="inlineStr"/>
      <c r="K75" s="15" t="inlineStr">
        <is>
          <t>REQ-015</t>
        </is>
      </c>
      <c r="L75" s="16" t="inlineStr">
        <is>
          <t>기존</t>
        </is>
      </c>
      <c r="M75" s="16" t="inlineStr">
        <is>
          <t>v0.1</t>
        </is>
      </c>
      <c r="N75" s="15" t="inlineStr"/>
    </row>
    <row r="76">
      <c r="A76" s="19" t="inlineStr">
        <is>
          <t>lifestyle_guides</t>
        </is>
      </c>
      <c r="B76" s="15" t="inlineStr">
        <is>
          <t>생활습관 팩트</t>
        </is>
      </c>
      <c r="C76" s="15" t="inlineStr">
        <is>
          <t>id</t>
        </is>
      </c>
      <c r="D76" s="15" t="inlineStr">
        <is>
          <t>ID</t>
        </is>
      </c>
      <c r="E76" s="15" t="inlineStr">
        <is>
          <t>bigint</t>
        </is>
      </c>
      <c r="F76" s="16" t="inlineStr">
        <is>
          <t>PK</t>
        </is>
      </c>
      <c r="G76" s="15" t="inlineStr"/>
      <c r="H76" s="16" t="inlineStr">
        <is>
          <t>Y</t>
        </is>
      </c>
      <c r="I76" s="15" t="inlineStr"/>
      <c r="J76" s="15" t="inlineStr"/>
      <c r="K76" s="15" t="inlineStr">
        <is>
          <t>RG-05 · P-1</t>
        </is>
      </c>
      <c r="L76" s="16" t="inlineStr">
        <is>
          <t>기존</t>
        </is>
      </c>
      <c r="M76" s="16" t="inlineStr">
        <is>
          <t>v0.1</t>
        </is>
      </c>
      <c r="N76" s="15" t="inlineStr">
        <is>
          <t>자체 구축 팩트 테이블. 원문 인용이 아닌 사실·수치 기반 (저작권 제약 회피)</t>
        </is>
      </c>
    </row>
    <row r="77">
      <c r="A77" s="19" t="inlineStr">
        <is>
          <t>lifestyle_guides</t>
        </is>
      </c>
      <c r="B77" s="15" t="inlineStr">
        <is>
          <t>생활습관 팩트</t>
        </is>
      </c>
      <c r="C77" s="15" t="inlineStr">
        <is>
          <t>disease_id</t>
        </is>
      </c>
      <c r="D77" s="15" t="inlineStr">
        <is>
          <t>질환 ID</t>
        </is>
      </c>
      <c r="E77" s="15" t="inlineStr">
        <is>
          <t>varchar(10)</t>
        </is>
      </c>
      <c r="F77" s="16" t="inlineStr"/>
      <c r="G77" s="15" t="inlineStr"/>
      <c r="H77" s="16" t="inlineStr">
        <is>
          <t>N</t>
        </is>
      </c>
      <c r="I77" s="15" t="inlineStr"/>
      <c r="J77" s="15" t="inlineStr">
        <is>
          <t>대표 상병기호 또는 질환 그룹 ID</t>
        </is>
      </c>
      <c r="K77" s="15" t="inlineStr">
        <is>
          <t>RG-05 · P-1</t>
        </is>
      </c>
      <c r="L77" s="16" t="inlineStr">
        <is>
          <t>기존</t>
        </is>
      </c>
      <c r="M77" s="16" t="inlineStr">
        <is>
          <t>v0.1</t>
        </is>
      </c>
      <c r="N77" s="15" t="inlineStr"/>
    </row>
    <row r="78">
      <c r="A78" s="19" t="inlineStr">
        <is>
          <t>lifestyle_guides</t>
        </is>
      </c>
      <c r="B78" s="15" t="inlineStr">
        <is>
          <t>생활습관 팩트</t>
        </is>
      </c>
      <c r="C78" s="15" t="inlineStr">
        <is>
          <t>category</t>
        </is>
      </c>
      <c r="D78" s="15" t="inlineStr">
        <is>
          <t>분류</t>
        </is>
      </c>
      <c r="E78" s="15" t="inlineStr">
        <is>
          <t>varchar(50)</t>
        </is>
      </c>
      <c r="F78" s="16" t="inlineStr"/>
      <c r="G78" s="15" t="inlineStr"/>
      <c r="H78" s="16" t="inlineStr">
        <is>
          <t>Y</t>
        </is>
      </c>
      <c r="I78" s="15" t="inlineStr"/>
      <c r="J78" s="15" t="inlineStr">
        <is>
          <t>나트륨 / 체중 / 운동 / 절주 / 금연 등</t>
        </is>
      </c>
      <c r="K78" s="15" t="inlineStr">
        <is>
          <t>RG-05 · P-1</t>
        </is>
      </c>
      <c r="L78" s="16" t="inlineStr">
        <is>
          <t>기존</t>
        </is>
      </c>
      <c r="M78" s="16" t="inlineStr">
        <is>
          <t>v0.1</t>
        </is>
      </c>
      <c r="N78" s="15" t="inlineStr"/>
    </row>
    <row r="79">
      <c r="A79" s="19" t="inlineStr">
        <is>
          <t>lifestyle_guides</t>
        </is>
      </c>
      <c r="B79" s="15" t="inlineStr">
        <is>
          <t>생활습관 팩트</t>
        </is>
      </c>
      <c r="C79" s="15" t="inlineStr">
        <is>
          <t>goal</t>
        </is>
      </c>
      <c r="D79" s="15" t="inlineStr">
        <is>
          <t>목표 기준</t>
        </is>
      </c>
      <c r="E79" s="15" t="inlineStr">
        <is>
          <t>varchar(300)</t>
        </is>
      </c>
      <c r="F79" s="16" t="inlineStr"/>
      <c r="G79" s="15" t="inlineStr"/>
      <c r="H79" s="16" t="inlineStr">
        <is>
          <t>N</t>
        </is>
      </c>
      <c r="I79" s="15" t="inlineStr"/>
      <c r="J79" s="15" t="inlineStr">
        <is>
          <t>1일 나트륨 2000mg 이하 등</t>
        </is>
      </c>
      <c r="K79" s="15" t="inlineStr">
        <is>
          <t>RG-05 · P-1</t>
        </is>
      </c>
      <c r="L79" s="16" t="inlineStr">
        <is>
          <t>기존</t>
        </is>
      </c>
      <c r="M79" s="16" t="inlineStr">
        <is>
          <t>v0.1</t>
        </is>
      </c>
      <c r="N79" s="15" t="inlineStr"/>
    </row>
    <row r="80">
      <c r="A80" s="19" t="inlineStr">
        <is>
          <t>lifestyle_guides</t>
        </is>
      </c>
      <c r="B80" s="15" t="inlineStr">
        <is>
          <t>생활습관 팩트</t>
        </is>
      </c>
      <c r="C80" s="15" t="inlineStr">
        <is>
          <t>actions</t>
        </is>
      </c>
      <c r="D80" s="15" t="inlineStr">
        <is>
          <t>실천 방법</t>
        </is>
      </c>
      <c r="E80" s="15" t="inlineStr">
        <is>
          <t>text</t>
        </is>
      </c>
      <c r="F80" s="16" t="inlineStr"/>
      <c r="G80" s="15" t="inlineStr"/>
      <c r="H80" s="16" t="inlineStr">
        <is>
          <t>N</t>
        </is>
      </c>
      <c r="I80" s="15" t="inlineStr"/>
      <c r="J80" s="15" t="inlineStr">
        <is>
          <t>실천 방법 (JSON 배열)</t>
        </is>
      </c>
      <c r="K80" s="15" t="inlineStr">
        <is>
          <t>RG-05 · P-1</t>
        </is>
      </c>
      <c r="L80" s="16" t="inlineStr">
        <is>
          <t>기존</t>
        </is>
      </c>
      <c r="M80" s="16" t="inlineStr">
        <is>
          <t>v0.1</t>
        </is>
      </c>
      <c r="N80" s="15" t="inlineStr"/>
    </row>
    <row r="81">
      <c r="A81" s="19" t="inlineStr">
        <is>
          <t>lifestyle_guides</t>
        </is>
      </c>
      <c r="B81" s="15" t="inlineStr">
        <is>
          <t>생활습관 팩트</t>
        </is>
      </c>
      <c r="C81" s="15" t="inlineStr">
        <is>
          <t>source</t>
        </is>
      </c>
      <c r="D81" s="15" t="inlineStr">
        <is>
          <t>출처</t>
        </is>
      </c>
      <c r="E81" s="15" t="inlineStr">
        <is>
          <t>varchar(300)</t>
        </is>
      </c>
      <c r="F81" s="16" t="inlineStr"/>
      <c r="G81" s="15" t="inlineStr"/>
      <c r="H81" s="16" t="inlineStr">
        <is>
          <t>N</t>
        </is>
      </c>
      <c r="I81" s="15" t="inlineStr"/>
      <c r="J81" s="15" t="inlineStr">
        <is>
          <t>근거 출처</t>
        </is>
      </c>
      <c r="K81" s="15" t="inlineStr">
        <is>
          <t>RG-05 · P-1</t>
        </is>
      </c>
      <c r="L81" s="16" t="inlineStr">
        <is>
          <t>기존</t>
        </is>
      </c>
      <c r="M81" s="16" t="inlineStr">
        <is>
          <t>v0.1</t>
        </is>
      </c>
      <c r="N81" s="15" t="inlineStr"/>
    </row>
    <row r="82">
      <c r="A82" s="19" t="inlineStr">
        <is>
          <t>lifestyle_medication_links</t>
        </is>
      </c>
      <c r="B82" s="15" t="inlineStr">
        <is>
          <t>약-생활수칙 연결</t>
        </is>
      </c>
      <c r="C82" s="15" t="inlineStr">
        <is>
          <t>id</t>
        </is>
      </c>
      <c r="D82" s="15" t="inlineStr">
        <is>
          <t>ID</t>
        </is>
      </c>
      <c r="E82" s="15" t="inlineStr">
        <is>
          <t>bigint</t>
        </is>
      </c>
      <c r="F82" s="16" t="inlineStr">
        <is>
          <t>PK</t>
        </is>
      </c>
      <c r="G82" s="15" t="inlineStr"/>
      <c r="H82" s="16" t="inlineStr">
        <is>
          <t>Y</t>
        </is>
      </c>
      <c r="I82" s="15" t="inlineStr"/>
      <c r="J82" s="15" t="inlineStr"/>
      <c r="K82" s="15" t="inlineStr">
        <is>
          <t>RG-05 · P-1</t>
        </is>
      </c>
      <c r="L82" s="16" t="inlineStr">
        <is>
          <t>기존</t>
        </is>
      </c>
      <c r="M82" s="16" t="inlineStr">
        <is>
          <t>v0.1</t>
        </is>
      </c>
      <c r="N82" s="15" t="inlineStr">
        <is>
          <t>⭐ 차별점 — 복용 약물과 생활수칙을 연결. 약 정보만으로도, 질환 정보만으로도 안 나오는 안내</t>
        </is>
      </c>
    </row>
    <row r="83">
      <c r="A83" s="19" t="inlineStr">
        <is>
          <t>lifestyle_medication_links</t>
        </is>
      </c>
      <c r="B83" s="15" t="inlineStr">
        <is>
          <t>약-생활수칙 연결</t>
        </is>
      </c>
      <c r="C83" s="15" t="inlineStr">
        <is>
          <t>guide_id</t>
        </is>
      </c>
      <c r="D83" s="15" t="inlineStr">
        <is>
          <t>안내문 ID</t>
        </is>
      </c>
      <c r="E83" s="15" t="inlineStr">
        <is>
          <t>bigint</t>
        </is>
      </c>
      <c r="F83" s="16" t="inlineStr">
        <is>
          <t>FK</t>
        </is>
      </c>
      <c r="G83" s="15" t="inlineStr">
        <is>
          <t>lifestyle_guides.id</t>
        </is>
      </c>
      <c r="H83" s="16" t="inlineStr">
        <is>
          <t>N</t>
        </is>
      </c>
      <c r="I83" s="15" t="inlineStr"/>
      <c r="J83" s="15" t="inlineStr"/>
      <c r="K83" s="15" t="inlineStr">
        <is>
          <t>RG-05 · P-1</t>
        </is>
      </c>
      <c r="L83" s="16" t="inlineStr">
        <is>
          <t>기존</t>
        </is>
      </c>
      <c r="M83" s="16" t="inlineStr">
        <is>
          <t>v0.1</t>
        </is>
      </c>
      <c r="N83" s="15" t="inlineStr"/>
    </row>
    <row r="84">
      <c r="A84" s="19" t="inlineStr">
        <is>
          <t>lifestyle_medication_links</t>
        </is>
      </c>
      <c r="B84" s="15" t="inlineStr">
        <is>
          <t>약-생활수칙 연결</t>
        </is>
      </c>
      <c r="C84" s="15" t="inlineStr">
        <is>
          <t>drug_class</t>
        </is>
      </c>
      <c r="D84" s="15" t="inlineStr">
        <is>
          <t>약 계열</t>
        </is>
      </c>
      <c r="E84" s="15" t="inlineStr">
        <is>
          <t>varchar(200)</t>
        </is>
      </c>
      <c r="F84" s="16" t="inlineStr"/>
      <c r="G84" s="15" t="inlineStr"/>
      <c r="H84" s="16" t="inlineStr">
        <is>
          <t>N</t>
        </is>
      </c>
      <c r="I84" s="15" t="inlineStr"/>
      <c r="J84" s="15" t="inlineStr">
        <is>
          <t>이뇨제 / 와파린 / 스타틴 등</t>
        </is>
      </c>
      <c r="K84" s="15" t="inlineStr">
        <is>
          <t>RG-05 · P-1</t>
        </is>
      </c>
      <c r="L84" s="16" t="inlineStr">
        <is>
          <t>기존</t>
        </is>
      </c>
      <c r="M84" s="16" t="inlineStr">
        <is>
          <t>v0.1</t>
        </is>
      </c>
      <c r="N84" s="15" t="inlineStr"/>
    </row>
    <row r="85">
      <c r="A85" s="19" t="inlineStr">
        <is>
          <t>lifestyle_medication_links</t>
        </is>
      </c>
      <c r="B85" s="15" t="inlineStr">
        <is>
          <t>약-생활수칙 연결</t>
        </is>
      </c>
      <c r="C85" s="15" t="inlineStr">
        <is>
          <t>caution</t>
        </is>
      </c>
      <c r="D85" s="15" t="inlineStr">
        <is>
          <t>주의</t>
        </is>
      </c>
      <c r="E85" s="15" t="inlineStr">
        <is>
          <t>text</t>
        </is>
      </c>
      <c r="F85" s="16" t="inlineStr"/>
      <c r="G85" s="15" t="inlineStr"/>
      <c r="H85" s="16" t="inlineStr">
        <is>
          <t>N</t>
        </is>
      </c>
      <c r="I85" s="15" t="inlineStr"/>
      <c r="J85" s="15" t="inlineStr"/>
      <c r="K85" s="15" t="inlineStr">
        <is>
          <t>RG-05 · P-1</t>
        </is>
      </c>
      <c r="L85" s="16" t="inlineStr">
        <is>
          <t>기존</t>
        </is>
      </c>
      <c r="M85" s="16" t="inlineStr">
        <is>
          <t>v0.1</t>
        </is>
      </c>
      <c r="N85" s="15" t="inlineStr"/>
    </row>
    <row r="86">
      <c r="A86" s="19" t="inlineStr">
        <is>
          <t>lifestyle_medication_links</t>
        </is>
      </c>
      <c r="B86" s="15" t="inlineStr">
        <is>
          <t>약-생활수칙 연결</t>
        </is>
      </c>
      <c r="C86" s="15" t="inlineStr">
        <is>
          <t>advice</t>
        </is>
      </c>
      <c r="D86" s="15" t="inlineStr">
        <is>
          <t>생활 수칙</t>
        </is>
      </c>
      <c r="E86" s="15" t="inlineStr">
        <is>
          <t>text</t>
        </is>
      </c>
      <c r="F86" s="16" t="inlineStr"/>
      <c r="G86" s="15" t="inlineStr"/>
      <c r="H86" s="16" t="inlineStr">
        <is>
          <t>N</t>
        </is>
      </c>
      <c r="I86" s="15" t="inlineStr"/>
      <c r="J86" s="15" t="inlineStr"/>
      <c r="K86" s="15" t="inlineStr">
        <is>
          <t>RG-05 · P-1</t>
        </is>
      </c>
      <c r="L86" s="16" t="inlineStr">
        <is>
          <t>기존</t>
        </is>
      </c>
      <c r="M86" s="16" t="inlineStr">
        <is>
          <t>v0.1</t>
        </is>
      </c>
      <c r="N86" s="15" t="inlineStr"/>
    </row>
  </sheetData>
  <autoFilter ref="A4:N86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2026-09-23T15:33:57Z</dcterms:created>
  <dcterms:modified xmlns:dcterms="http://purl.org/dc/terms/" xmlns:xsi="http://www.w3.org/2001/XMLSchema-instance" xsi:type="dcterms:W3CDTF">2026-09-23T15:33:57Z</dcterms:modified>
</cp:coreProperties>
</file>