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 규칙" sheetId="1" state="visible" r:id="rId1"/>
    <sheet xmlns:r="http://schemas.openxmlformats.org/officeDocument/2006/relationships" name="변경 이력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공통" sheetId="4" state="visible" r:id="rId4"/>
    <sheet xmlns:r="http://schemas.openxmlformats.org/officeDocument/2006/relationships" name="OCR" sheetId="5" state="visible" r:id="rId5"/>
    <sheet xmlns:r="http://schemas.openxmlformats.org/officeDocument/2006/relationships" name="RAG" sheetId="6" state="visible" r:id="rId6"/>
    <sheet xmlns:r="http://schemas.openxmlformats.org/officeDocument/2006/relationships" name="챗봇" sheetId="7" state="visible" r:id="rId7"/>
    <sheet xmlns:r="http://schemas.openxmlformats.org/officeDocument/2006/relationships" name="실천·보상" sheetId="8" state="visible" r:id="rId8"/>
    <sheet xmlns:r="http://schemas.openxmlformats.org/officeDocument/2006/relationships" name="비기능" sheetId="9" state="visible" r:id="rId9"/>
  </sheets>
  <definedNames>
    <definedName name="_xlnm._FilterDatabase" localSheetId="3" hidden="1">'공통'!$A$4:$N$17</definedName>
    <definedName name="_xlnm._FilterDatabase" localSheetId="4" hidden="1">'OCR'!$A$4:$N$23</definedName>
    <definedName name="_xlnm._FilterDatabase" localSheetId="5" hidden="1">'RAG'!$A$4:$N$32</definedName>
    <definedName name="_xlnm._FilterDatabase" localSheetId="6" hidden="1">'챗봇'!$A$4:$N$14</definedName>
    <definedName name="_xlnm._FilterDatabase" localSheetId="7" hidden="1">'실천·보상'!$A$4:$N$12</definedName>
    <definedName name="_xlnm._FilterDatabase" localSheetId="8" hidden="1">'비기능'!$A$4:$N$27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475569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D4ED8"/>
      <sz val="10"/>
    </font>
    <font>
      <name val="맑은 고딕"/>
      <b val="1"/>
      <color rgb="00047857"/>
      <sz val="10"/>
    </font>
    <font>
      <name val="맑은 고딕"/>
      <b val="1"/>
      <color rgb="00B45309"/>
      <sz val="10"/>
    </font>
    <font>
      <name val="맑은 고딕"/>
      <b val="1"/>
      <color rgb="00DC2626"/>
      <sz val="10"/>
    </font>
    <font>
      <name val="맑은 고딕"/>
      <b val="1"/>
      <color rgb="00475569"/>
      <sz val="10"/>
    </font>
    <font>
      <name val="맑은 고딕"/>
      <b val="1"/>
      <sz val="10"/>
    </font>
    <font>
      <name val="맑은 고딕"/>
      <b val="1"/>
    </font>
    <font>
      <name val="맑은 고딕"/>
      <b val="1"/>
      <sz val="11"/>
    </font>
    <font>
      <name val="맑은 고딕"/>
      <color rgb="000F172A"/>
      <sz val="10"/>
    </font>
    <font>
      <name val="맑은 고딕"/>
      <color rgb="0094A3B8"/>
      <sz val="10"/>
    </font>
    <font>
      <name val="맑은 고딕"/>
      <b val="1"/>
      <sz val="13"/>
    </font>
    <font>
      <name val="맑은 고딕"/>
    </font>
    <font>
      <name val="맑은 고딕"/>
      <b val="1"/>
      <color rgb="00FFFFFF"/>
      <sz val="14"/>
    </font>
    <font>
      <name val="맑은 고딕"/>
      <color rgb="006B7280"/>
      <sz val="9"/>
    </font>
    <font>
      <name val="맑은 고딕"/>
      <b val="1"/>
      <color rgb="00374151"/>
      <sz val="10"/>
    </font>
    <font>
      <name val="맑은 고딕"/>
      <b val="1"/>
      <color rgb="001F4E79"/>
      <sz val="9"/>
    </font>
    <font>
      <name val="맑은 고딕"/>
      <color rgb="004B5563"/>
      <sz val="9"/>
    </font>
  </fonts>
  <fills count="9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EEF5"/>
      </patternFill>
    </fill>
    <fill>
      <patternFill patternType="solid">
        <fgColor rgb="00FAFBFC"/>
      </patternFill>
    </fill>
  </fills>
  <borders count="6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0" fillId="0" borderId="1" pivotButton="0" quotePrefix="0" xfId="0"/>
    <xf numFmtId="0" fontId="11" fillId="0" borderId="1" applyAlignment="1" pivotButton="0" quotePrefix="0" xfId="0">
      <alignment horizontal="center"/>
    </xf>
    <xf numFmtId="0" fontId="11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1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7" fillId="5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left" vertical="center" wrapText="1"/>
    </xf>
    <xf numFmtId="0" fontId="20" fillId="7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34" t="inlineStr">
        <is>
          <t>작성 규칙</t>
        </is>
      </c>
    </row>
    <row r="3">
      <c r="A3" s="10" t="inlineStr">
        <is>
          <t>탭 구성</t>
        </is>
      </c>
      <c r="B3" s="35" t="inlineStr">
        <is>
          <t>작성 규칙 / 변경 이력 / 요약 / 공통 / OCR / RAG / 챗봇 / 실천·보상 / 비기능 — 규칙과 변경 이력을 먼저 확인한 뒤 피처(담당자)별 탭을 수정. 요구사항 하나가 여러 화면에 걸치므로 화면별이 아닌 피처별로 나눔</t>
        </is>
      </c>
    </row>
    <row r="4">
      <c r="A4" s="10" t="inlineStr">
        <is>
          <t>ID</t>
        </is>
      </c>
      <c r="B4" s="35" t="inlineStr">
        <is>
          <t>REQ-000 기능 / NFR-000 비기능. 번호대 — 회원 001~ · 업로드 010~ · OCR 020~ · 약품매칭 030~ · 안전성 040~ · 안내문 050~ · 생활습관 060~ · 챗봇 070~ · 이력 080~ · 피드백 090~ · 음성 100~ · 실천·보상 110~ · 공통화면 120~</t>
        </is>
      </c>
    </row>
    <row r="5">
      <c r="A5" s="10" t="inlineStr">
        <is>
          <t>관련 화면</t>
        </is>
      </c>
      <c r="B5" s="35" t="inlineStr">
        <is>
          <t>Figma 통합 와이어프레임의 화면 ID (CM 공통 · OC OCR · RG RAG · CB 챗봇 · RW 실천·보상, 예외는 -E1)</t>
        </is>
      </c>
    </row>
    <row r="6">
      <c r="A6" s="10" t="inlineStr">
        <is>
          <t>관련 API</t>
        </is>
      </c>
      <c r="B6" s="35" t="inlineStr">
        <is>
          <t>API 명세서 번호 (A 인증 · U 회원 · O OCR · R 분석 · H 챗봇 · P 실천·보상)</t>
        </is>
      </c>
    </row>
    <row r="7">
      <c r="A7" s="10" t="inlineStr">
        <is>
          <t>우선순위</t>
        </is>
      </c>
      <c r="B7" s="35" t="inlineStr">
        <is>
          <t>High = 피처 핵심 기능(OCR · RAG · 챗봇 · 보상, 참여기업 필수 · 기술 깊이) · 평가 기준(응답 속도 등) / Medium = 피처 보조 기능 · 예외 처리 · 최소 회원 기능 / Low = 개인정보 · 보안 · 일반 프론트 · 백엔드 구현 (최소 구현, 여유 있을 때) — 일반 구현은 AI 도구로 처리하므로 평가 · 설계 비중은 피처에 둔다</t>
        </is>
      </c>
    </row>
    <row r="8">
      <c r="A8" s="10" t="inlineStr">
        <is>
          <t>상태</t>
        </is>
      </c>
      <c r="B8" s="35" t="inlineStr">
        <is>
          <t>확정 / 팀 확인 필요 (9/29 전 결정) / 선택 구현 / 보류 (멘토링 · 외부 확인 대기)</t>
        </is>
      </c>
    </row>
    <row r="9">
      <c r="A9" s="10" t="inlineStr">
        <is>
          <t>변경</t>
        </is>
      </c>
      <c r="B9" s="35" t="inlineStr">
        <is>
          <t>초안(69건) 대비 — 기존 / 수정 (노란 배경) / 신규 (파란 배경)</t>
        </is>
      </c>
    </row>
    <row r="10">
      <c r="A10" s="10" t="inlineStr">
        <is>
          <t>최종 수정</t>
        </is>
      </c>
      <c r="B10" s="35" t="inlineStr">
        <is>
          <t>그 요구사항이 마지막으로 바뀐 버전. 바꿀 때마다 변경 이력 탭에 버전 요약 한 줄 + 위치 · 현행(As-Is) · 개정(To-Be) 세부 행을 추가 — 현행에는 바꾸기 전 값을 그대로 적음</t>
        </is>
      </c>
    </row>
    <row r="11">
      <c r="A11" s="10" t="inlineStr">
        <is>
          <t>새 행 추가</t>
        </is>
      </c>
      <c r="B11" s="35" t="inlineStr">
        <is>
          <t>해당 탭 맨 아래에 추가 (요약 탭은 각 탭 50행 여유분까지 자동 집계)</t>
        </is>
      </c>
    </row>
    <row r="12">
      <c r="A12" s="10" t="inlineStr">
        <is>
          <t>예시</t>
        </is>
      </c>
      <c r="B12" s="35" t="inlineStr">
        <is>
          <t>REQ-033 · 약품매칭 · 확인 전 분석 시작 제한 · High · OC-02 · R-1 (409) · 채연 · 확정 · 신규 · v1.0</t>
        </is>
      </c>
    </row>
    <row r="13">
      <c r="A13" s="10" t="inlineStr">
        <is>
          <t>MVP (제안)</t>
        </is>
      </c>
      <c r="B13" s="35" t="inlineStr">
        <is>
          <t>MVP = 스프린트 안에 반드시 만드는 것 / 후순위 = MVP 끝난 뒤. v1.3 기준 제안값이며 다음 팀 회의에서 확정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E1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64" customWidth="1" min="4" max="4"/>
    <col width="10" customWidth="1" min="5" max="5"/>
  </cols>
  <sheetData>
    <row r="1" ht="30" customHeight="1">
      <c r="A1" s="36" t="inlineStr">
        <is>
          <t>변경 이력</t>
        </is>
      </c>
    </row>
    <row r="2" ht="30" customHeight="1">
      <c r="A2" s="37" t="inlineStr">
        <is>
          <t>※ 왼쪽 행 번호 옆 [+] / [-] 버튼으로 세부사항을 펼치고 접을 수 있습니다. 바꿀 때마다 버전 요약 한 줄 + 아래에 위치 · 현행(As-Is) · 개정(To-Be)을 적고, 현행에는 바꾸기 전 값을 그대로 남겨 주세요.</t>
        </is>
      </c>
    </row>
    <row r="3" ht="22" customHeight="1">
      <c r="A3" s="38" t="inlineStr">
        <is>
          <t>버전</t>
        </is>
      </c>
      <c r="B3" s="38" t="inlineStr">
        <is>
          <t>일자</t>
        </is>
      </c>
      <c r="C3" s="38" t="inlineStr">
        <is>
          <t>변경 내용</t>
        </is>
      </c>
      <c r="D3" s="43" t="n"/>
      <c r="E3" s="38" t="inlineStr">
        <is>
          <t>담당</t>
        </is>
      </c>
    </row>
    <row r="4" ht="32" customHeight="1">
      <c r="A4" s="39" t="inlineStr">
        <is>
          <t>v0.1</t>
        </is>
      </c>
      <c r="B4" s="39" t="inlineStr">
        <is>
          <t>2026-09-22</t>
        </is>
      </c>
      <c r="C4" s="40" t="inlineStr">
        <is>
          <t>최초 작성 — 요구사항 69건(REQ-001~NFR-051). 참여기업 요구사항 · 공공데이터 확보 결과 기준</t>
        </is>
      </c>
      <c r="D4" s="43" t="n"/>
      <c r="E4" s="39" t="inlineStr">
        <is>
          <t>이형준</t>
        </is>
      </c>
    </row>
    <row r="5" ht="32" customHeight="1">
      <c r="A5" s="39" t="inlineStr">
        <is>
          <t>v1.0</t>
        </is>
      </c>
      <c r="B5" s="39" t="inlineStr">
        <is>
          <t>2026-09-24</t>
        </is>
      </c>
      <c r="C5" s="40" t="inlineStr">
        <is>
          <t>통합 와이어프레임(45개 화면) · API 명세서 v1.0 반영 — 칸 추가, 기존 15건 상세 보완 · 비고 10건 정리, 신규 32건 추가</t>
        </is>
      </c>
      <c r="D5" s="43" t="n"/>
      <c r="E5" s="39" t="inlineStr">
        <is>
          <t>이형준</t>
        </is>
      </c>
    </row>
    <row r="6" hidden="1" outlineLevel="1">
      <c r="A6" s="41" t="n"/>
      <c r="B6" s="41" t="inlineStr">
        <is>
          <t>위치</t>
        </is>
      </c>
      <c r="C6" s="41" t="inlineStr">
        <is>
          <t>현행 (As-Is)</t>
        </is>
      </c>
      <c r="D6" s="41" t="inlineStr">
        <is>
          <t>개정 (To-Be)</t>
        </is>
      </c>
      <c r="E6" s="41" t="n"/>
    </row>
    <row r="7" hidden="1" outlineLevel="1" ht="56" customHeight="1">
      <c r="A7" s="42" t="n"/>
      <c r="B7" s="42" t="inlineStr">
        <is>
          <t>전체 / 표 칸 구성</t>
        </is>
      </c>
      <c r="C7" s="42" t="inlineStr">
        <is>
          <t>ID · 기능/비기능 · 카테고리 · 요구사항 명칭 · 상세 내용 · 우선순위 · 비고 (7칸)</t>
        </is>
      </c>
      <c r="D7" s="42" t="inlineStr">
        <is>
          <t>ID · 구분 · 카테고리 · 요구사항 명칭 · 상세 내용 · 우선순위 · 관련 화면 · 관련 API · 담당 · 상태 · 변경 · 최종 수정 · 비고 (13칸)
사유: 통합 와이어프레임(45개 화면) · API 명세서와 연결</t>
        </is>
      </c>
      <c r="E7" s="42" t="n"/>
    </row>
    <row r="8" hidden="1" outlineLevel="1" ht="42" customHeight="1">
      <c r="A8" s="42" t="n"/>
      <c r="B8" s="42" t="inlineStr">
        <is>
          <t>공통 / REQ-001 회원가입 / 상세 내용</t>
        </is>
      </c>
      <c r="C8" s="42" t="inlineStr">
        <is>
          <t>사용자는 이메일과 비밀번호로 회원가입할 수 있어야 한다. 출생연도와 성별을 필수로 입력한다.</t>
        </is>
      </c>
      <c r="D8" s="42" t="inlineStr">
        <is>
          <t>사용자는 이메일과 비밀번호로 회원가입할 수 있어야 한다. 출생연도와 성별은 필수, 이름(별명)은 선택으로 입력한다.
사유: 와이어프레임 화면 흐름에 맞춤</t>
        </is>
      </c>
      <c r="E8" s="42" t="n"/>
    </row>
    <row r="9" hidden="1" outlineLevel="1" ht="42" customHeight="1">
      <c r="A9" s="42" t="n"/>
      <c r="B9" s="42" t="inlineStr">
        <is>
          <t>공통 / REQ-002 로그인 / 상세 내용</t>
        </is>
      </c>
      <c r="C9" s="42" t="inlineStr">
        <is>
          <t>사용자는 가입한 계정으로 로그인할 수 있어야 한다. 로그인 실패 5회 시 10분간 잠금 처리한다.</t>
        </is>
      </c>
      <c r="D9" s="42" t="inlineStr">
        <is>
          <t>사용자는 가입한 계정으로 로그인할 수 있어야 한다. 틀릴 때마다 남은 횟수를 안내하고, 5회 실패 시 10분간 잠그며 남은 시간을 표시한다.
사유: 와이어프레임 화면 흐름에 맞춤</t>
        </is>
      </c>
      <c r="E9" s="42" t="n"/>
    </row>
    <row r="10" hidden="1" outlineLevel="1" ht="42" customHeight="1">
      <c r="A10" s="42" t="n"/>
      <c r="B10" s="42" t="inlineStr">
        <is>
          <t>공통 / REQ-004 회원 탈퇴 / 상세 내용</t>
        </is>
      </c>
      <c r="C10" s="42" t="inlineStr">
        <is>
          <t>사용자는 탈퇴할 수 있어야 하며 탈퇴 시 업로드한 진료기록과 생성된 안내문은 즉시 삭제된다.</t>
        </is>
      </c>
      <c r="D10" s="42" t="inlineStr">
        <is>
          <t>사용자는 탈퇴 전 지워지는 정보 목록을 확인하고 동의해야 하며, 탈퇴 시 진료 정보 · 분석 결과 · 안내문 · 실천 기록 · 챗봇 대화가 즉시 삭제된다.
사유: 와이어프레임 화면 흐름에 맞춤</t>
        </is>
      </c>
      <c r="E10" s="42" t="n"/>
    </row>
    <row r="11" hidden="1" outlineLevel="1" ht="70" customHeight="1">
      <c r="A11" s="42" t="n"/>
      <c r="B11" s="42" t="inlineStr">
        <is>
          <t>공통 / REQ-006 — 신규 행 추가</t>
        </is>
      </c>
      <c r="C11" s="42" t="inlineStr">
        <is>
          <t>(없음)</t>
        </is>
      </c>
      <c r="D11" s="42" t="inlineStr">
        <is>
          <t>내 정보 조회 · 수정 · Low
사용자는 이름(별명) · 출생연도 · 성별을 확인하고 수정할 수 있어야 한다. 이메일은 수정할 수 없고, 출생연도 · 성별 변경은 다음 분석부터 반영된다.
사유: 와이어프레임에서 새로 나온 기능</t>
        </is>
      </c>
      <c r="E11" s="42" t="n"/>
    </row>
    <row r="12" hidden="1" outlineLevel="1" ht="70" customHeight="1">
      <c r="A12" s="42" t="n"/>
      <c r="B12" s="42" t="inlineStr">
        <is>
          <t>공통 / REQ-007 — 신규 행 추가</t>
        </is>
      </c>
      <c r="C12" s="42" t="inlineStr">
        <is>
          <t>(없음)</t>
        </is>
      </c>
      <c r="D12" s="42" t="inlineStr">
        <is>
          <t>동의 내역 조회 · 철회 · Low
사용자는 동의한 약관과 동의 일시를 확인하고 민감정보 수집 동의를 철회할 수 있어야 한다. 철회하면 업로드 · 분석을 이용할 수 없다.
사유: 와이어프레임에서 새로 나온 기능  [팀 확인 필요]</t>
        </is>
      </c>
      <c r="E12" s="42" t="n"/>
    </row>
    <row r="13" hidden="1" outlineLevel="1" ht="56" customHeight="1">
      <c r="A13" s="42" t="n"/>
      <c r="B13" s="42" t="inlineStr">
        <is>
          <t>공통 / REQ-008 — 신규 행 추가</t>
        </is>
      </c>
      <c r="C13" s="42" t="inlineStr">
        <is>
          <t>(없음)</t>
        </is>
      </c>
      <c r="D13" s="42" t="inlineStr">
        <is>
          <t>로그인 만료 처리 · Low
시스템은 로그인이 만료되면 사유를 안내하고 로그인 화면으로 이동시켜야 한다.
사유: 와이어프레임에서 새로 나온 기능  [팀 확인 필요]</t>
        </is>
      </c>
      <c r="E13" s="42" t="n"/>
    </row>
    <row r="14" hidden="1" outlineLevel="1" ht="42" customHeight="1">
      <c r="A14" s="42" t="n"/>
      <c r="B14" s="42" t="inlineStr">
        <is>
          <t>OCR / REQ-011 카메라 촬영 업로드 / 상세 내용</t>
        </is>
      </c>
      <c r="C14" s="42" t="inlineStr">
        <is>
          <t>사용자는 모바일에서 카메라로 직접 촬영하여 업로드할 수 있어야 한다.</t>
        </is>
      </c>
      <c r="D14" s="42" t="inlineStr">
        <is>
          <t>사용자는 모바일에서 카메라로 직접 촬영하여 업로드할 수 있어야 한다. 카메라 권한이 없으면 설정 이동 또는 갤러리 선택으로 계속할 수 있다.
사유: 와이어프레임 화면 흐름에 맞춤</t>
        </is>
      </c>
      <c r="E14" s="42" t="n"/>
    </row>
    <row r="15" hidden="1" outlineLevel="1" ht="42" customHeight="1">
      <c r="A15" s="42" t="n"/>
      <c r="B15" s="42" t="inlineStr">
        <is>
          <t>OCR / REQ-013 다중 업로드 / 상세 내용</t>
        </is>
      </c>
      <c r="C15" s="42" t="inlineStr">
        <is>
          <t>사용자는 처방전을 한 번에 최대 5장까지 업로드할 수 있어야 한다.</t>
        </is>
      </c>
      <c r="D15" s="42" t="inlineStr">
        <is>
          <t>사용자는 처방전 · 약봉투를 최대 5장까지 이어서 촬영 · 선택하고 한 번에 인식을 시작할 수 있어야 한다.
사유: 와이어프레임 화면 흐름에 맞춤  [팀 확인 필요]</t>
        </is>
      </c>
      <c r="E15" s="42" t="n"/>
    </row>
    <row r="16" hidden="1" outlineLevel="1" ht="70" customHeight="1">
      <c r="A16" s="42" t="n"/>
      <c r="B16" s="42" t="inlineStr">
        <is>
          <t>OCR / REQ-016 — 신규 행 추가</t>
        </is>
      </c>
      <c r="C16" s="42" t="inlineStr">
        <is>
          <t>(없음)</t>
        </is>
      </c>
      <c r="D16" s="42" t="inlineStr">
        <is>
          <t>촬영 품질 사전 검사 · High
시스템은 촬영 직후 초점 · 밝기 · 문서 잘림을 검사하고, 기준에 못 미치면 사유를 알리고 다시 찍도록 안내해야 한다. 사용자가 원하면 "확인 필요" 상태로 계속 진행할 수 있다.
사유: 와이어프레임에서 새로 나온 기능</t>
        </is>
      </c>
      <c r="E16" s="42" t="n"/>
    </row>
    <row r="17" hidden="1" outlineLevel="1" ht="56" customHeight="1">
      <c r="A17" s="42" t="n"/>
      <c r="B17" s="42" t="inlineStr">
        <is>
          <t>OCR / REQ-017 — 신규 행 추가</t>
        </is>
      </c>
      <c r="C17" s="42" t="inlineStr">
        <is>
          <t>(없음)</t>
        </is>
      </c>
      <c r="D17" s="42" t="inlineStr">
        <is>
          <t>관련 없는 사진 감지 · Medium
시스템은 처방전 · 약봉투가 아닌 사진을 걸러내고 다시 찍도록 안내해야 한다.
사유: 와이어프레임에서 새로 나온 기능  [팀 확인 필요]</t>
        </is>
      </c>
      <c r="E17" s="42" t="n"/>
    </row>
    <row r="18" hidden="1" outlineLevel="1" ht="56" customHeight="1">
      <c r="A18" s="42" t="n"/>
      <c r="B18" s="42" t="inlineStr">
        <is>
          <t>OCR / REQ-025 — 신규 행 추가</t>
        </is>
      </c>
      <c r="C18" s="42" t="inlineStr">
        <is>
          <t>(없음)</t>
        </is>
      </c>
      <c r="D18" s="42" t="inlineStr">
        <is>
          <t>문서 종류 판별 표시 · High
시스템은 사진이 처방전인지 약봉투인지 판별하고, 인식 결과 화면에 문서 종류와 병원 이름을 표시해야 한다.
사유: 와이어프레임에서 새로 나온 기능</t>
        </is>
      </c>
      <c r="E18" s="42" t="n"/>
    </row>
    <row r="19" hidden="1" outlineLevel="1" ht="42" customHeight="1">
      <c r="A19" s="42" t="n"/>
      <c r="B19" s="42" t="inlineStr">
        <is>
          <t>OCR / REQ-032 미매칭 약품 표시 / 상세 내용</t>
        </is>
      </c>
      <c r="C19" s="42" t="inlineStr">
        <is>
          <t>시스템은 끝내 매칭되지 않은 약품을 별도 표시하고 해당 약품은 안전성 점검 대상에서 제외됨을 안내해야 한다.</t>
        </is>
      </c>
      <c r="D19" s="42" t="inlineStr">
        <is>
          <t>시스템은 끝내 매칭되지 않은 약품을 사용자가 "빼고 진행"으로 선택할 수 있게 하고, 결과 화면 맨 위에 점검에서 빠진 약으로 표시해야 한다.
사유: 와이어프레임 화면 흐름에 맞춤</t>
        </is>
      </c>
      <c r="E19" s="42" t="n"/>
    </row>
    <row r="20" hidden="1" outlineLevel="1" ht="70" customHeight="1">
      <c r="A20" s="42" t="n"/>
      <c r="B20" s="42" t="inlineStr">
        <is>
          <t>OCR / REQ-033 — 신규 행 추가</t>
        </is>
      </c>
      <c r="C20" s="42" t="inlineStr">
        <is>
          <t>(없음)</t>
        </is>
      </c>
      <c r="D20" s="42" t="inlineStr">
        <is>
          <t>확인 전 분석 시작 제한 · High
시스템은 "확인 필요" 또는 "찾지 못함" 상태의 약이 남아 있으면 분석 시작을 막고, 무엇을 해야 시작할 수 있는지 안내해야 한다.
사유: 와이어프레임에서 새로 나온 기능</t>
        </is>
      </c>
      <c r="E20" s="42" t="n"/>
    </row>
    <row r="21" hidden="1" outlineLevel="1" ht="56" customHeight="1">
      <c r="A21" s="42" t="n"/>
      <c r="B21" s="42" t="inlineStr">
        <is>
          <t>OCR / REQ-034 — 신규 행 추가</t>
        </is>
      </c>
      <c r="C21" s="42" t="inlineStr">
        <is>
          <t>(없음)</t>
        </is>
      </c>
      <c r="D21" s="42" t="inlineStr">
        <is>
          <t>약 이름 검색 · 자동완성 · High
사용자는 인식되지 않은 약을 이름으로 검색해 직접 추가할 수 있어야 하며, 입력 중 비슷한 약 이름을 추천받는다.
사유: 와이어프레임에서 새로 나온 기능</t>
        </is>
      </c>
      <c r="E21" s="42" t="n"/>
    </row>
    <row r="22" hidden="1" outlineLevel="1" ht="42" customHeight="1">
      <c r="A22" s="42" t="n"/>
      <c r="B22" s="42" t="inlineStr">
        <is>
          <t>RAG / REQ-047 경고 근거 표시 / 상세 내용</t>
        </is>
      </c>
      <c r="C22" s="42" t="inlineStr">
        <is>
          <t>시스템은 각 경고에 대해 금기 사유와 식약처 고시일자를 함께 표시해야 한다.</t>
        </is>
      </c>
      <c r="D22" s="42" t="inlineStr">
        <is>
          <t>시스템은 경고마다 관련 약(처방 병원 · 성분), 쉬운 설명, 금기 사유 원문, 고시명 · 고시일, 판정 방식(DB 조회)을 상세 화면에서 보여줘야 한다.
사유: 와이어프레임 화면 흐름에 맞춤</t>
        </is>
      </c>
      <c r="E22" s="42" t="n"/>
    </row>
    <row r="23" hidden="1" outlineLevel="1" ht="42" customHeight="1">
      <c r="A23" s="42" t="n"/>
      <c r="B23" s="42" t="inlineStr">
        <is>
          <t>RAG / REQ-048 경고 등급 구분 / 상세 내용</t>
        </is>
      </c>
      <c r="C23" s="42" t="inlineStr">
        <is>
          <t>시스템은 경고를 위험/주의/참고 3단계로 구분하여 표시해야 한다.</t>
        </is>
      </c>
      <c r="D23" s="42" t="inlineStr">
        <is>
          <t>시스템은 경고를 위험 / 주의 / 참고 3단계로 구분하고, 등급을 색과 함께 글자 라벨로 표시해야 한다.
사유: 와이어프레임 화면 흐름에 맞춤</t>
        </is>
      </c>
      <c r="E23" s="42" t="n"/>
    </row>
    <row r="24" hidden="1" outlineLevel="1" ht="56" customHeight="1">
      <c r="A24" s="42" t="n"/>
      <c r="B24" s="42" t="inlineStr">
        <is>
          <t>RAG / REQ-049 — 신규 행 추가</t>
        </is>
      </c>
      <c r="C24" s="42" t="inlineStr">
        <is>
          <t>(없음)</t>
        </is>
      </c>
      <c r="D24" s="42" t="inlineStr">
        <is>
          <t>다제약물 경고 · Medium
시스템은 복용 약이 기준 개수 이상이면 여러 약을 함께 먹고 있다는 사실과 약사 상담을 안내해야 한다.
사유: 와이어프레임에서 새로 나온 기능  [팀 확인 필요]</t>
        </is>
      </c>
      <c r="E24" s="42" t="n"/>
    </row>
    <row r="25" hidden="1" outlineLevel="1" ht="42" customHeight="1">
      <c r="A25" s="42" t="n"/>
      <c r="B25" s="42" t="inlineStr">
        <is>
          <t>RAG / REQ-050 복약 안내문 생성 / 상세 내용</t>
        </is>
      </c>
      <c r="C25" s="42" t="inlineStr">
        <is>
          <t>시스템은 약품별 효능 복용법 주의사항을 비전문가가 이해할 수 있는 문장으로 생성해야 한다.</t>
        </is>
      </c>
      <c r="D25" s="42" t="inlineStr">
        <is>
          <t>시스템은 약품별로 무엇에 쓰나요 / 어떻게 먹나요 / 주의할 점 / 출처를 같은 순서로, 비전문가가 이해할 수 있는 문장으로 생성해야 한다.
사유: 와이어프레임 화면 흐름에 맞춤</t>
        </is>
      </c>
      <c r="E25" s="42" t="n"/>
    </row>
    <row r="26" hidden="1" outlineLevel="1" ht="42" customHeight="1">
      <c r="A26" s="42" t="n"/>
      <c r="B26" s="42" t="inlineStr">
        <is>
          <t>RAG / REQ-054 생성 진행 상태 표시 / 상세 내용</t>
        </is>
      </c>
      <c r="C26" s="42" t="inlineStr">
        <is>
          <t>시스템은 안내문 생성 중 진행 단계를 화면에 표시해야 한다.</t>
        </is>
      </c>
      <c r="D26" s="42" t="inlineStr">
        <is>
          <t>시스템은 분석 중 약 정보 확인 / 안전성 점검 / 안내문 작성 단계와 각 상태(완료 · 진행 중 · 대기)를 화면에 표시해야 한다.
사유: 와이어프레임 화면 흐름에 맞춤</t>
        </is>
      </c>
      <c r="E26" s="42" t="n"/>
    </row>
    <row r="27" hidden="1" outlineLevel="1" ht="42" customHeight="1">
      <c r="A27" s="42" t="n"/>
      <c r="B27" s="42" t="inlineStr">
        <is>
          <t>RAG / REQ-055 생성 실패 처리 / 상세 내용</t>
        </is>
      </c>
      <c r="C27" s="42" t="inlineStr">
        <is>
          <t>시스템은 생성에 실패한 경우 사유를 안내하고 재시도 버튼을 제공해야 한다.</t>
        </is>
      </c>
      <c r="D27" s="42" t="inlineStr">
        <is>
          <t>시스템은 분석 실패 시 실패한 단계와 사유를 안내하고, 실패한 단계부터 다시 시도할 수 있게 해야 한다. 3회 연속 실패 시 재시도를 막는다.
사유: 와이어프레임 화면 흐름에 맞춤</t>
        </is>
      </c>
      <c r="E27" s="42" t="n"/>
    </row>
    <row r="28" hidden="1" outlineLevel="1" ht="56" customHeight="1">
      <c r="A28" s="42" t="n"/>
      <c r="B28" s="42" t="inlineStr">
        <is>
          <t>RAG / REQ-056 — 신규 행 추가</t>
        </is>
      </c>
      <c r="C28" s="42" t="inlineStr">
        <is>
          <t>(없음)</t>
        </is>
      </c>
      <c r="D28" s="42" t="inlineStr">
        <is>
          <t>부분 결과 제공 · High
시스템은 안내문 작성만 실패한 경우에도 이미 끝난 안전성 점검 결과를 먼저 보여줄 수 있어야 한다.
사유: 와이어프레임에서 새로 나온 기능</t>
        </is>
      </c>
      <c r="E28" s="42" t="n"/>
    </row>
    <row r="29" hidden="1" outlineLevel="1" ht="70" customHeight="1">
      <c r="A29" s="42" t="n"/>
      <c r="B29" s="42" t="inlineStr">
        <is>
          <t>RAG / REQ-057 — 신규 행 추가</t>
        </is>
      </c>
      <c r="C29" s="42" t="inlineStr">
        <is>
          <t>(없음)</t>
        </is>
      </c>
      <c r="D29" s="42" t="inlineStr">
        <is>
          <t>확인된 위험 없음 안내 · High
시스템은 경고가 0건일 때 "안전하다"고 단정하지 않고 "확인된 위험이 없다"는 문구, 점검한 항목 목록, 자료의 한계를 함께 보여줘야 한다.
사유: 와이어프레임에서 새로 나온 기능</t>
        </is>
      </c>
      <c r="E29" s="42" t="n"/>
    </row>
    <row r="30" hidden="1" outlineLevel="1" ht="70" customHeight="1">
      <c r="A30" s="42" t="n"/>
      <c r="B30" s="42" t="inlineStr">
        <is>
          <t>RAG / REQ-058 — 신규 행 추가</t>
        </is>
      </c>
      <c r="C30" s="42" t="inlineStr">
        <is>
          <t>(없음)</t>
        </is>
      </c>
      <c r="D30" s="42" t="inlineStr">
        <is>
          <t>분석 중 화면 이탈 허용 · Medium
사용자는 분석 중 화면을 떠날 수 있어야 하며, 분석은 계속 진행되고 홈의 최근 분석 카드에 "분석 중"으로 표시된다.
사유: 와이어프레임에서 새로 나온 기능</t>
        </is>
      </c>
      <c r="E30" s="42" t="n"/>
    </row>
    <row r="31" hidden="1" outlineLevel="1" ht="70" customHeight="1">
      <c r="A31" s="42" t="n"/>
      <c r="B31" s="42" t="inlineStr">
        <is>
          <t>RAG / REQ-063 — 신규 행 추가</t>
        </is>
      </c>
      <c r="C31" s="42" t="inlineStr">
        <is>
          <t>(없음)</t>
        </is>
      </c>
      <c r="D31" s="42" t="inlineStr">
        <is>
          <t>질환 정보 없을 때 처리 · Medium
시스템은 질병분류기호가 없을 때(약봉투 등) 약 기준 주의사항은 그대로 보여주고, 사용자가 해당 질환을 직접 고를 수 있게 해야 한다. 직접 고른 질환은 처방전 코드와 구분해 표시한다.
사유: 와이어프레임에서 새로 나온 기능  [팀 확인 필요]</t>
        </is>
      </c>
      <c r="E31" s="42" t="n"/>
    </row>
    <row r="32" hidden="1" outlineLevel="1" ht="70" customHeight="1">
      <c r="A32" s="42" t="n"/>
      <c r="B32" s="42" t="inlineStr">
        <is>
          <t>챗봇 / REQ-075 — 신규 행 추가</t>
        </is>
      </c>
      <c r="C32" s="42" t="inlineStr">
        <is>
          <t>(없음)</t>
        </is>
      </c>
      <c r="D32" s="42" t="inlineStr">
        <is>
          <t>분석 결과 맥락으로 대화 시작 · High
사용자가 경고 · 약 화면에서 챗봇으로 넘어가면, 챗봇은 해당 분석 결과와 질문 대상(경고 · 약)을 알고 대화를 시작하고 이를 화면에 표시해야 한다.
사유: 와이어프레임에서 새로 나온 기능</t>
        </is>
      </c>
      <c r="E32" s="42" t="n"/>
    </row>
    <row r="33" hidden="1" outlineLevel="1" ht="56" customHeight="1">
      <c r="A33" s="42" t="n"/>
      <c r="B33" s="42" t="inlineStr">
        <is>
          <t>챗봇 / REQ-076 — 신규 행 추가</t>
        </is>
      </c>
      <c r="C33" s="42" t="inlineStr">
        <is>
          <t>(없음)</t>
        </is>
      </c>
      <c r="D33" s="42" t="inlineStr">
        <is>
          <t>추천 질문 · Low
시스템은 대화 기록이 없을 때 추천 질문을 보여주고, 누르면 그 질문으로 대화를 시작해야 한다.
사유: 와이어프레임에서 새로 나온 기능  [팀 확인 필요]</t>
        </is>
      </c>
      <c r="E33" s="42" t="n"/>
    </row>
    <row r="34" hidden="1" outlineLevel="1" ht="70" customHeight="1">
      <c r="A34" s="42" t="n"/>
      <c r="B34" s="42" t="inlineStr">
        <is>
          <t>챗봇 / REQ-077 — 신규 행 추가</t>
        </is>
      </c>
      <c r="C34" s="42" t="inlineStr">
        <is>
          <t>(없음)</t>
        </is>
      </c>
      <c r="D34" s="42" t="inlineStr">
        <is>
          <t>대화 기록 달력 · 목록 · Low
사용자는 날짜별로 지난 대화를 찾아보고, 대화 제목을 수정 · 공유 · 내보낼 수 있어야 한다. 공유 시 건강 정보가 함께 전달된다는 경고를 표시한다.
사유: 와이어프레임에서 새로 나온 기능</t>
        </is>
      </c>
      <c r="E34" s="42" t="n"/>
    </row>
    <row r="35" hidden="1" outlineLevel="1" ht="56" customHeight="1">
      <c r="A35" s="42" t="n"/>
      <c r="B35" s="42" t="inlineStr">
        <is>
          <t>챗봇 / REQ-078 — 신규 행 추가</t>
        </is>
      </c>
      <c r="C35" s="42" t="inlineStr">
        <is>
          <t>(없음)</t>
        </is>
      </c>
      <c r="D35" s="42" t="inlineStr">
        <is>
          <t>음성 질문 입력 · Low
사용자는 말로 질문을 입력할 수 있어야 하며, 인식에 실패하면 다시 말하기 또는 글자 입력을 선택할 수 있다.
사유: 와이어프레임에서 새로 나온 기능</t>
        </is>
      </c>
      <c r="E35" s="42" t="n"/>
    </row>
    <row r="36" hidden="1" outlineLevel="1" ht="56" customHeight="1">
      <c r="A36" s="42" t="n"/>
      <c r="B36" s="42" t="inlineStr">
        <is>
          <t>챗봇 / REQ-079 — 신규 행 추가</t>
        </is>
      </c>
      <c r="C36" s="42" t="inlineStr">
        <is>
          <t>(없음)</t>
        </is>
      </c>
      <c r="D36" s="42" t="inlineStr">
        <is>
          <t>사진 · 파일 첨부 · Low
사용자는 대화 중 사진 · 파일을 첨부할 수 있어야 한다. 처방전 · 약봉투는 촬영 · 업로드 화면에서 올리도록 안내한다.
사유: 와이어프레임에서 새로 나온 기능</t>
        </is>
      </c>
      <c r="E36" s="42" t="n"/>
    </row>
    <row r="37" hidden="1" outlineLevel="1" ht="42" customHeight="1">
      <c r="A37" s="42" t="n"/>
      <c r="B37" s="42" t="inlineStr">
        <is>
          <t>공통 / REQ-081 이력 삭제 / 상세 내용</t>
        </is>
      </c>
      <c r="C37" s="42" t="inlineStr">
        <is>
          <t>사용자는 개별 분석 이력을 삭제할 수 있어야 한다.</t>
        </is>
      </c>
      <c r="D37" s="42" t="inlineStr">
        <is>
          <t>사용자는 개별 분석 기록을 삭제할 수 있어야 하며, 삭제 전 확인 창을 거친다. 지운 기록은 되돌릴 수 없다.
사유: 와이어프레임 화면 흐름에 맞춤  [팀 확인 필요]</t>
        </is>
      </c>
      <c r="E37" s="42" t="n"/>
    </row>
    <row r="38" hidden="1" outlineLevel="1" ht="56" customHeight="1">
      <c r="A38" s="42" t="n"/>
      <c r="B38" s="42" t="inlineStr">
        <is>
          <t>공통 / REQ-082 — 신규 행 추가</t>
        </is>
      </c>
      <c r="C38" s="42" t="inlineStr">
        <is>
          <t>(없음)</t>
        </is>
      </c>
      <c r="D38" s="42" t="inlineStr">
        <is>
          <t>실패한 분석 다시 하기 · Low
사용자는 분석에 실패한 기록에서 다시 분석을 시작할 수 있어야 한다. 원본 사진을 저장하지 않으므로 다시 촬영한다.
사유: 와이어프레임에서 새로 나온 기능</t>
        </is>
      </c>
      <c r="E38" s="42" t="n"/>
    </row>
    <row r="39" hidden="1" outlineLevel="1" ht="70" customHeight="1">
      <c r="A39" s="42" t="n"/>
      <c r="B39" s="42" t="inlineStr">
        <is>
          <t>실천·보상 / REQ-110 — 신규 행 추가</t>
        </is>
      </c>
      <c r="C39" s="42" t="inlineStr">
        <is>
          <t>(없음)</t>
        </is>
      </c>
      <c r="D39" s="42" t="inlineStr">
        <is>
          <t>생활습관 추천 결과 · High
시스템은 분석 결과의 질환 · 복용 약을 기준으로 생활습관 팩트 테이블에서 실천 목표를 최대 3개 추천하고, 추천 이유(질환 · 약)를 라벨로 표시해야 한다.
사유: 실천·보상 요구사항 신규 부여 (담당자 명세 기준)  [팀 확인 필요]</t>
        </is>
      </c>
      <c r="E39" s="42" t="n"/>
    </row>
    <row r="40" hidden="1" outlineLevel="1" ht="56" customHeight="1">
      <c r="A40" s="42" t="n"/>
      <c r="B40" s="42" t="inlineStr">
        <is>
          <t>실천·보상 / REQ-111 — 신규 행 추가</t>
        </is>
      </c>
      <c r="C40" s="42" t="inlineStr">
        <is>
          <t>(없음)</t>
        </is>
      </c>
      <c r="D40" s="42" t="inlineStr">
        <is>
          <t>실천 목표 선택 · High
사용자는 추천 중 최대 3개를 이번 주 실천 목표로 직접 선택할 수 있어야 한다. 0개면 시작할 수 없다.
사유: 실천·보상 요구사항 신규 부여 (담당자 명세 기준)</t>
        </is>
      </c>
      <c r="E40" s="42" t="n"/>
    </row>
    <row r="41" hidden="1" outlineLevel="1" ht="70" customHeight="1">
      <c r="A41" s="42" t="n"/>
      <c r="B41" s="42" t="inlineStr">
        <is>
          <t>실천·보상 / REQ-112 — 신규 행 추가</t>
        </is>
      </c>
      <c r="C41" s="42" t="inlineStr">
        <is>
          <t>(없음)</t>
        </is>
      </c>
      <c r="D41" s="42" t="inlineStr">
        <is>
          <t>오늘의 실천 기록 · High
사용자는 오늘의 목표를 체크형(완료) 또는 수량형(걷기 분 등)으로 기록할 수 있어야 한다. 같은 날 같은 목표의 중복 완료는 무시하고, 목표가 없으면 분석을 안내한다.
사유: 실천·보상 요구사항 신규 부여 (담당자 명세 기준)</t>
        </is>
      </c>
      <c r="E41" s="42" t="n"/>
    </row>
    <row r="42" hidden="1" outlineLevel="1" ht="70" customHeight="1">
      <c r="A42" s="42" t="n"/>
      <c r="B42" s="42" t="inlineStr">
        <is>
          <t>실천·보상 / REQ-113 — 신규 행 추가</t>
        </is>
      </c>
      <c r="C42" s="42" t="inlineStr">
        <is>
          <t>(없음)</t>
        </is>
      </c>
      <c r="D42" s="42" t="inlineStr">
        <is>
          <t>포인트 지급 · High
시스템은 목표 완료 시 포인트를 지급하고, 하루 목표를 모두 완료하면 추가 포인트를 지급하되 같은 날 중복 지급하지 않아야 한다.
사유: 실천·보상 요구사항 신규 부여 (담당자 명세 기준)</t>
        </is>
      </c>
      <c r="E42" s="42" t="n"/>
    </row>
    <row r="43" hidden="1" outlineLevel="1" ht="70" customHeight="1">
      <c r="A43" s="42" t="n"/>
      <c r="B43" s="42" t="inlineStr">
        <is>
          <t>실천·보상 / REQ-114 — 신규 행 추가</t>
        </is>
      </c>
      <c r="C43" s="42" t="inlineStr">
        <is>
          <t>(없음)</t>
        </is>
      </c>
      <c r="D43" s="42" t="inlineStr">
        <is>
          <t>달성 현황 · Medium
사용자는 이번 주 요일별 실천 여부, 달성률, 연속 실천일, 이번 주 · 누적 포인트를 확인할 수 있어야 한다. 기록이 없으면 다음 할 일을 안내한다.
사유: 실천·보상 요구사항 신규 부여 (담당자 명세 기준)</t>
        </is>
      </c>
      <c r="E43" s="42" t="n"/>
    </row>
    <row r="44" hidden="1" outlineLevel="1" ht="70" customHeight="1">
      <c r="A44" s="42" t="n"/>
      <c r="B44" s="42" t="inlineStr">
        <is>
          <t>실천·보상 / REQ-115 — 신규 행 추가</t>
        </is>
      </c>
      <c r="C44" s="42" t="inlineStr">
        <is>
          <t>(없음)</t>
        </is>
      </c>
      <c r="D44" s="42" t="inlineStr">
        <is>
          <t>기록 저장 실패 재시도 · Medium
시스템은 실천 기록 저장에 실패하면 화면 안 배너로 알리고 같은 요청을 다시 시도할 수 있게 해야 한다.
사유: 실천·보상 요구사항 신규 부여 (담당자 명세 기준)</t>
        </is>
      </c>
      <c r="E44" s="42" t="n"/>
    </row>
    <row r="45" hidden="1" outlineLevel="1" ht="56" customHeight="1">
      <c r="A45" s="42" t="n"/>
      <c r="B45" s="42" t="inlineStr">
        <is>
          <t>실천·보상 / REQ-116 — 신규 행 추가</t>
        </is>
      </c>
      <c r="C45" s="42" t="inlineStr">
        <is>
          <t>(없음)</t>
        </is>
      </c>
      <c r="D45" s="42" t="inlineStr">
        <is>
          <t>주간 목표 다시 고르기 · Medium
사용자는 한 주가 끝나면 목표를 이어가거나 다시 고를 수 있어야 한다.
사유: 실천·보상 요구사항 신규 부여 (담당자 명세 기준)  [팀 확인 필요]</t>
        </is>
      </c>
      <c r="E45" s="42" t="n"/>
    </row>
    <row r="46" hidden="1" outlineLevel="1" ht="56" customHeight="1">
      <c r="A46" s="42" t="n"/>
      <c r="B46" s="42" t="inlineStr">
        <is>
          <t>실천·보상 / REQ-117 — 신규 행 추가</t>
        </is>
      </c>
      <c r="C46" s="42" t="inlineStr">
        <is>
          <t>(없음)</t>
        </is>
      </c>
      <c r="D46" s="42" t="inlineStr">
        <is>
          <t>실천 기록 검증 · Low
시스템은 몰아서 체크하는 등 비정상 기록 패턴을 감지해 표시할 수 있어야 한다.
사유: 실천·보상 요구사항 신규 부여 (담당자 명세 기준)  [팀 확인 필요]</t>
        </is>
      </c>
      <c r="E46" s="42" t="n"/>
    </row>
    <row r="47" hidden="1" outlineLevel="1" ht="70" customHeight="1">
      <c r="A47" s="42" t="n"/>
      <c r="B47" s="42" t="inlineStr">
        <is>
          <t>공통 / REQ-120 — 신규 행 추가</t>
        </is>
      </c>
      <c r="C47" s="42" t="inlineStr">
        <is>
          <t>(없음)</t>
        </is>
      </c>
      <c r="D47" s="42" t="inlineStr">
        <is>
          <t>홈 요약 · High
시스템은 홈에서 오늘의 실천 진행률, 최근 분석 결과 요약, 챗봇 진입, 새 분석 버튼을 한 화면에 보여줘야 한다. 기록이 없으면 이용 순서를 안내한다.
사유: 와이어프레임에서 새로 나온 기능</t>
        </is>
      </c>
      <c r="E47" s="42" t="n"/>
    </row>
    <row r="48" hidden="1" outlineLevel="1" ht="70" customHeight="1">
      <c r="A48" s="42" t="n"/>
      <c r="B48" s="42" t="inlineStr">
        <is>
          <t>공통 / REQ-121 — 신규 행 추가</t>
        </is>
      </c>
      <c r="C48" s="42" t="inlineStr">
        <is>
          <t>(없음)</t>
        </is>
      </c>
      <c r="D48" s="42" t="inlineStr">
        <is>
          <t>공통 오류 화면 · Medium
시스템은 네트워크 · 서버 오류 · 로그인 만료 시 공통 오류 화면에서 사유를 글자로 안내하고 다시 시도 · 홈 이동을 제공해야 한다.
사유: 와이어프레임에서 새로 나온 기능</t>
        </is>
      </c>
      <c r="E48" s="42" t="n"/>
    </row>
    <row r="49" hidden="1" outlineLevel="1" ht="42" customHeight="1">
      <c r="A49" s="42" t="n"/>
      <c r="B49" s="42" t="inlineStr">
        <is>
          <t>비기능 / NFR-020 모바일 우선 설계 / 상세 내용</t>
        </is>
      </c>
      <c r="C49" s="42" t="inlineStr">
        <is>
          <t>모든 화면은 모바일(375px 기준)에서 정상 표시되어야 한다.</t>
        </is>
      </c>
      <c r="D49" s="42" t="inlineStr">
        <is>
          <t>모든 화면은 모바일 폭 375px 기준으로 설계한다. 세로 길이는 내용에 따라 늘어난다.
사유: 와이어프레임 화면 흐름에 맞춤</t>
        </is>
      </c>
      <c r="E49" s="42" t="n"/>
    </row>
    <row r="50" hidden="1" outlineLevel="1" ht="42" customHeight="1">
      <c r="A50" s="42" t="n"/>
      <c r="B50" s="42" t="inlineStr">
        <is>
          <t>비기능 / NFR-022 고령자 가독성 / 상세 내용</t>
        </is>
      </c>
      <c r="C50" s="42" t="inlineStr">
        <is>
          <t>본문 글자 크기는 16px 이상 배경과 문자의 명도 대비는 4.5:1 이상을 유지한다.</t>
        </is>
      </c>
      <c r="D50" s="42" t="inlineStr">
        <is>
          <t>본문 글자 크기는 16px 이상(가장 작은 글자도 13px 이상), 글자와 배경의 명도 대비는 4.5:1 이상을 유지한다.
사유: 와이어프레임 화면 흐름에 맞춤</t>
        </is>
      </c>
      <c r="E50" s="42" t="n"/>
    </row>
    <row r="51" hidden="1" outlineLevel="1" ht="42" customHeight="1">
      <c r="A51" s="42" t="n"/>
      <c r="B51" s="42" t="inlineStr">
        <is>
          <t>비기능 / NFR-023 일관된 UI / 상세 내용</t>
        </is>
      </c>
      <c r="C51" s="42" t="inlineStr">
        <is>
          <t>모든 화면은 동일한 디자인 규칙(색상 타이포 컴포넌트)을 따라야 한다.</t>
        </is>
      </c>
      <c r="D51" s="42" t="inlineStr">
        <is>
          <t>모든 화면은 톤앤매너 가이드(색상 · 글자 스타일 · 기본 요소 · 하단 메뉴 홈/실천/챗봇/내정보 고정)를 따라야 한다.
사유: 와이어프레임 화면 흐름에 맞춤</t>
        </is>
      </c>
      <c r="E51" s="42" t="n"/>
    </row>
    <row r="52" hidden="1" outlineLevel="1" ht="70" customHeight="1">
      <c r="A52" s="42" t="n"/>
      <c r="B52" s="42" t="inlineStr">
        <is>
          <t>비기능 / NFR-024 — 신규 행 추가</t>
        </is>
      </c>
      <c r="C52" s="42" t="inlineStr">
        <is>
          <t>(없음)</t>
        </is>
      </c>
      <c r="D52" s="42" t="inlineStr">
        <is>
          <t>상태는 글자 라벨로 표시 · High
모든 상태(확인됨 · 확인 필요 · 찾지 못함 · 위험 · 완료 등)는 색만으로 구분하지 않고 글자 라벨을 함께 표시한다.
사유: 와이어프레임에서 새로 나온 기능</t>
        </is>
      </c>
      <c r="E52" s="42" t="n"/>
    </row>
    <row r="53" hidden="1" outlineLevel="1" ht="70" customHeight="1">
      <c r="A53" s="42" t="n"/>
      <c r="B53" s="42" t="inlineStr">
        <is>
          <t>비기능 / NFR-032 — 신규 행 추가</t>
        </is>
      </c>
      <c r="C53" s="42" t="inlineStr">
        <is>
          <t>(없음)</t>
        </is>
      </c>
      <c r="D53" s="42" t="inlineStr">
        <is>
          <t>경고는 AI를 거치지 않음 · High
안전성 경고 문장은 DUR 조회 결과를 템플릿으로 표시하며 AI가 요약 · 생성하지 않는다. AI는 쉬운 설명 문장에만 사용한다.
사유: 와이어프레임에서 새로 나온 기능</t>
        </is>
      </c>
      <c r="E53" s="42" t="n"/>
    </row>
    <row r="54" hidden="1" outlineLevel="1" ht="70" customHeight="1">
      <c r="A54" s="42" t="n"/>
      <c r="B54" s="42" t="inlineStr">
        <is>
          <t>비기능 / NFR-033 — 신규 행 추가</t>
        </is>
      </c>
      <c r="C54" s="42" t="inlineStr">
        <is>
          <t>(없음)</t>
        </is>
      </c>
      <c r="D54" s="42" t="inlineStr">
        <is>
          <t>의료 표현 기준 · High
안내 문구는 진단 · 효과 약속 표현("혈압이 내려갑니다")을 쓰지 않고 "도움이 될 수 있어요", "의료진과 상의하세요" 형식을 따른다.
사유: 와이어프레임에서 새로 나온 기능  [팀 확인 필요]</t>
        </is>
      </c>
      <c r="E54" s="42" t="n"/>
    </row>
    <row r="55" hidden="1" outlineLevel="1" ht="20" customHeight="1">
      <c r="A55" s="42" t="n"/>
      <c r="B55" s="42" t="inlineStr">
        <is>
          <t>OCR / REQ-012 약봉투 업로드 / 비고</t>
        </is>
      </c>
      <c r="C55" s="42" t="inlineStr">
        <is>
          <t>참여기업 필수 요구사항에 명시</t>
        </is>
      </c>
      <c r="D55" s="42" t="inlineStr">
        <is>
          <t>약봉투에는 질병분류기호가 없어 생활습관 안내는 RG-05-E1로 이어짐</t>
        </is>
      </c>
      <c r="E55" s="42" t="n"/>
    </row>
    <row r="56" hidden="1" outlineLevel="1" ht="20" customHeight="1">
      <c r="A56" s="42" t="n"/>
      <c r="B56" s="42" t="inlineStr">
        <is>
          <t>OCR / REQ-013 다중 업로드 / 비고</t>
        </is>
      </c>
      <c r="C56" s="42" t="inlineStr">
        <is>
          <t>여러 병원 처방전 동시 점검이 핵심 시나리오</t>
        </is>
      </c>
      <c r="D56" s="42" t="inlineStr">
        <is>
          <t>여러 병원 처방전 동시 점검이 핵심 시나리오. 와이어프레임을 여러 장 흐름으로 바꿈 → 채연 확인</t>
        </is>
      </c>
      <c r="E56" s="42" t="n"/>
    </row>
    <row r="57" hidden="1" outlineLevel="1" ht="20" customHeight="1">
      <c r="A57" s="42" t="n"/>
      <c r="B57" s="42" t="inlineStr">
        <is>
          <t>OCR / REQ-031 매칭 후보 제시 / 비고</t>
        </is>
      </c>
      <c r="C57" s="42" t="inlineStr">
        <is>
          <t>처방전 표기와 DB 제품명이 일치하지 않는 경우가 많음</t>
        </is>
      </c>
      <c r="D57" s="42" t="inlineStr">
        <is>
          <t>"확인됨"으로 볼 매칭 점수 기준 확정 필요 (채연)</t>
        </is>
      </c>
      <c r="E57" s="42" t="n"/>
    </row>
    <row r="58" hidden="1" outlineLevel="1" ht="20" customHeight="1">
      <c r="A58" s="42" t="n"/>
      <c r="B58" s="42" t="inlineStr">
        <is>
          <t>챗봇 / REQ-073 답변 불가 처리 / 비고</t>
        </is>
      </c>
      <c r="C58" s="42" t="inlineStr">
        <is>
          <t>환각 방지</t>
        </is>
      </c>
      <c r="D58" s="42" t="inlineStr">
        <is>
          <t>"확인이 어렵습니다" 처리 조건 · 문구 팀 논의</t>
        </is>
      </c>
      <c r="E58" s="42" t="n"/>
    </row>
    <row r="59" hidden="1" outlineLevel="1" ht="28" customHeight="1">
      <c r="A59" s="42" t="n"/>
      <c r="B59" s="42" t="inlineStr">
        <is>
          <t>챗봇 / REQ-074 진단·처방 요청 거절 / 비고</t>
        </is>
      </c>
      <c r="C59" s="42" t="inlineStr">
        <is>
          <t>서비스 범위 밖</t>
        </is>
      </c>
      <c r="D59" s="42" t="inlineStr">
        <is>
          <t>"의료진 상담 필요" 처리 조건 · 문구 팀 논의</t>
        </is>
      </c>
      <c r="E59" s="42" t="n"/>
    </row>
    <row r="60" hidden="1" outlineLevel="1" ht="20" customHeight="1">
      <c r="A60" s="42" t="n"/>
      <c r="B60" s="42" t="inlineStr">
        <is>
          <t>공통 / REQ-081 이력 삭제 / 비고</t>
        </is>
      </c>
      <c r="C60" s="42" t="inlineStr">
        <is>
          <t>(없음)</t>
        </is>
      </c>
      <c r="D60" s="42" t="inlineStr">
        <is>
          <t>삭제한 기록에서 생긴 실천 목표 · 포인트 처리 → 성규와 결정</t>
        </is>
      </c>
      <c r="E60" s="42" t="n"/>
    </row>
    <row r="61" hidden="1" outlineLevel="1" ht="28" customHeight="1">
      <c r="A61" s="42" t="n"/>
      <c r="B61" s="42" t="inlineStr">
        <is>
          <t>비기능 / NFR-011 원본 이미지 미저장 / 비고</t>
        </is>
      </c>
      <c r="C61" s="42" t="inlineStr">
        <is>
          <t>민감정보 최소 수집 ※ 멘토링 확인 필요</t>
        </is>
      </c>
      <c r="D61" s="42" t="inlineStr">
        <is>
          <t>※ 멘토링 확인 필요. 원본을 저장하지 않으면 실패 기록은 다시 찍어야 함 (CM-04)</t>
        </is>
      </c>
      <c r="E61" s="42" t="n"/>
    </row>
    <row r="62" hidden="1" outlineLevel="1" ht="28" customHeight="1">
      <c r="A62" s="42" t="n"/>
      <c r="B62" s="42" t="inlineStr">
        <is>
          <t>비기능 / NFR-020 모바일 우선 설계 / 비고</t>
        </is>
      </c>
      <c r="C62" s="42" t="inlineStr">
        <is>
          <t>※ 멘토링 확인 필요 - 플랫폼 확정 후</t>
        </is>
      </c>
      <c r="D62" s="42" t="inlineStr">
        <is>
          <t>보류 해제 — 플랫폼 모바일 확정</t>
        </is>
      </c>
      <c r="E62" s="42" t="n"/>
    </row>
    <row r="63" hidden="1" outlineLevel="1" ht="20" customHeight="1">
      <c r="A63" s="42" t="n"/>
      <c r="B63" s="42" t="inlineStr">
        <is>
          <t>비기능 / NFR-022 고령자 가독성 / 비고</t>
        </is>
      </c>
      <c r="C63" s="42" t="inlineStr">
        <is>
          <t>고령 타겟</t>
        </is>
      </c>
      <c r="D63" s="42" t="inlineStr">
        <is>
          <t>톤앤매너 가이드 기준</t>
        </is>
      </c>
      <c r="E63" s="42" t="n"/>
    </row>
    <row r="64" hidden="1" outlineLevel="1" ht="20" customHeight="1">
      <c r="A64" s="42" t="n"/>
      <c r="B64" s="42" t="inlineStr">
        <is>
          <t>비기능 / NFR-023 일관된 UI / 비고</t>
        </is>
      </c>
      <c r="C64" s="42" t="inlineStr">
        <is>
          <t>참여기업 평가 기준 4-2</t>
        </is>
      </c>
      <c r="D64" s="42" t="inlineStr">
        <is>
          <t>Figma 00 톤앤매너 가이드</t>
        </is>
      </c>
      <c r="E64" s="42" t="n"/>
    </row>
    <row r="65" ht="32" customHeight="1">
      <c r="A65" s="39" t="inlineStr">
        <is>
          <t>v1.1</t>
        </is>
      </c>
      <c r="B65" s="39" t="inlineStr">
        <is>
          <t>2026-09-24</t>
        </is>
      </c>
      <c r="C65" s="40" t="inlineStr">
        <is>
          <t>한 시트 → 피처(담당자)별 탭으로 분리</t>
        </is>
      </c>
      <c r="D65" s="43" t="n"/>
      <c r="E65" s="39" t="inlineStr">
        <is>
          <t>이형준</t>
        </is>
      </c>
    </row>
    <row r="66" hidden="1" outlineLevel="1">
      <c r="A66" s="41" t="n"/>
      <c r="B66" s="41" t="inlineStr">
        <is>
          <t>위치</t>
        </is>
      </c>
      <c r="C66" s="41" t="inlineStr">
        <is>
          <t>현행 (As-Is)</t>
        </is>
      </c>
      <c r="D66" s="41" t="inlineStr">
        <is>
          <t>개정 (To-Be)</t>
        </is>
      </c>
      <c r="E66" s="41" t="n"/>
    </row>
    <row r="67" hidden="1" outlineLevel="1" ht="42" customHeight="1">
      <c r="A67" s="42" t="n"/>
      <c r="B67" s="42" t="inlineStr">
        <is>
          <t>전체 / 시트 구성</t>
        </is>
      </c>
      <c r="C67" s="42" t="inlineStr">
        <is>
          <t>요구사항 정의서 한 시트 (101건)</t>
        </is>
      </c>
      <c r="D67" s="42" t="inlineStr">
        <is>
          <t>작성 규칙 → 변경 이력 → 요약 → 공통 · OCR · RAG · 챗봇 · 실천·보상 · 비기능 (9개 탭)
사유: 담당자별로 자기 탭만 관리하도록</t>
        </is>
      </c>
      <c r="E67" s="42" t="n"/>
    </row>
    <row r="68" ht="32" customHeight="1">
      <c r="A68" s="39" t="inlineStr">
        <is>
          <t>v1.2</t>
        </is>
      </c>
      <c r="B68" s="39" t="inlineStr">
        <is>
          <t>2026-09-24</t>
        </is>
      </c>
      <c r="C68" s="40" t="inlineStr">
        <is>
          <t>우선순위 기준 정리 — 피처 핵심 High, 개인정보 · 보안 · 일반 구현은 Low로 조정 (20건)</t>
        </is>
      </c>
      <c r="D68" s="43" t="n"/>
      <c r="E68" s="39" t="inlineStr">
        <is>
          <t>이형준</t>
        </is>
      </c>
    </row>
    <row r="69" hidden="1" outlineLevel="1">
      <c r="A69" s="41" t="n"/>
      <c r="B69" s="41" t="inlineStr">
        <is>
          <t>위치</t>
        </is>
      </c>
      <c r="C69" s="41" t="inlineStr">
        <is>
          <t>현행 (As-Is)</t>
        </is>
      </c>
      <c r="D69" s="41" t="inlineStr">
        <is>
          <t>개정 (To-Be)</t>
        </is>
      </c>
      <c r="E69" s="41" t="n"/>
    </row>
    <row r="70" hidden="1" outlineLevel="1" ht="56" customHeight="1">
      <c r="A70" s="42" t="n"/>
      <c r="B70" s="42" t="inlineStr">
        <is>
          <t>작성 규칙 / 우선순위 기준</t>
        </is>
      </c>
      <c r="C70" s="42" t="inlineStr">
        <is>
          <t>High / Medium / Low 등급만 표기 (등급별 기준 문구 없음)</t>
        </is>
      </c>
      <c r="D70" s="42" t="inlineStr">
        <is>
          <t>피처 핵심 High / 보조 · 예외 Medium / 개인정보 · 보안 · 일반 구현 Low
사유: 멘토링 방향: 피처를 깊게. 개인정보 · 보안 · 프론트 · 백엔드 일반 구현은 AI 도구로 처리하므로 비중 축소</t>
        </is>
      </c>
      <c r="E70" s="42" t="n"/>
    </row>
    <row r="71" hidden="1" outlineLevel="1" ht="42" customHeight="1">
      <c r="A71" s="42" t="n"/>
      <c r="B71" s="42" t="inlineStr">
        <is>
          <t>공통 / REQ-001 회원가입 / 우선순위</t>
        </is>
      </c>
      <c r="C71" s="42" t="inlineStr">
        <is>
          <t>High</t>
        </is>
      </c>
      <c r="D71" s="42" t="inlineStr">
        <is>
          <t>Medium  (비고에 "우선순위 조정" 문구 추가)
사유: 최소 구현 — 가입은 있어야 하지만 피처가 아님</t>
        </is>
      </c>
      <c r="E71" s="42" t="n"/>
    </row>
    <row r="72" hidden="1" outlineLevel="1" ht="42" customHeight="1">
      <c r="A72" s="42" t="n"/>
      <c r="B72" s="42" t="inlineStr">
        <is>
          <t>공통 / REQ-002 로그인 / 우선순위</t>
        </is>
      </c>
      <c r="C72" s="42" t="inlineStr">
        <is>
          <t>High</t>
        </is>
      </c>
      <c r="D72" s="42" t="inlineStr">
        <is>
          <t>Medium  (비고에 "우선순위 조정" 문구 추가)
사유: 최소 구현 — 로그인만 우선, 5회 잠금은 여유 있을 때</t>
        </is>
      </c>
      <c r="E72" s="42" t="n"/>
    </row>
    <row r="73" hidden="1" outlineLevel="1" ht="28" customHeight="1">
      <c r="A73" s="42" t="n"/>
      <c r="B73" s="42" t="inlineStr">
        <is>
          <t>공통 / REQ-003 로그아웃 / 우선순위</t>
        </is>
      </c>
      <c r="C73" s="42" t="inlineStr">
        <is>
          <t>High</t>
        </is>
      </c>
      <c r="D73" s="42" t="inlineStr">
        <is>
          <t>Low  (비고에 "우선순위 조정" 문구 추가)
사유: 일반 구현</t>
        </is>
      </c>
      <c r="E73" s="42" t="n"/>
    </row>
    <row r="74" hidden="1" outlineLevel="1" ht="28" customHeight="1">
      <c r="A74" s="42" t="n"/>
      <c r="B74" s="42" t="inlineStr">
        <is>
          <t>공통 / REQ-004 회원 탈퇴 / 우선순위</t>
        </is>
      </c>
      <c r="C74" s="42" t="inlineStr">
        <is>
          <t>High</t>
        </is>
      </c>
      <c r="D74" s="42" t="inlineStr">
        <is>
          <t>Low  (비고에 "우선순위 조정" 문구 추가)
사유: 개인정보 · 일반 구현</t>
        </is>
      </c>
      <c r="E74" s="42" t="n"/>
    </row>
    <row r="75" hidden="1" outlineLevel="1" ht="28" customHeight="1">
      <c r="A75" s="42" t="n"/>
      <c r="B75" s="42" t="inlineStr">
        <is>
          <t>공통 / REQ-005 개인정보 처리방침 동의 / 우선순위</t>
        </is>
      </c>
      <c r="C75" s="42" t="inlineStr">
        <is>
          <t>High</t>
        </is>
      </c>
      <c r="D75" s="42" t="inlineStr">
        <is>
          <t>Low  (비고에 "우선순위 조정" 문구 추가)
사유: 개인정보 — 동의 체크만 최소 구현</t>
        </is>
      </c>
      <c r="E75" s="42" t="n"/>
    </row>
    <row r="76" hidden="1" outlineLevel="1" ht="28" customHeight="1">
      <c r="A76" s="42" t="n"/>
      <c r="B76" s="42" t="inlineStr">
        <is>
          <t>공통 / REQ-006 내 정보 조회 · 수정 / 우선순위</t>
        </is>
      </c>
      <c r="C76" s="42" t="inlineStr">
        <is>
          <t>Medium</t>
        </is>
      </c>
      <c r="D76" s="42" t="inlineStr">
        <is>
          <t>Low  (비고에 "우선순위 조정" 문구 추가)
사유: 일반 구현</t>
        </is>
      </c>
      <c r="E76" s="42" t="n"/>
    </row>
    <row r="77" hidden="1" outlineLevel="1" ht="28" customHeight="1">
      <c r="A77" s="42" t="n"/>
      <c r="B77" s="42" t="inlineStr">
        <is>
          <t>공통 / REQ-007 동의 내역 조회 · 철회 / 우선순위</t>
        </is>
      </c>
      <c r="C77" s="42" t="inlineStr">
        <is>
          <t>Medium</t>
        </is>
      </c>
      <c r="D77" s="42" t="inlineStr">
        <is>
          <t>Low  (비고에 "우선순위 조정" 문구 추가)
사유: 개인정보</t>
        </is>
      </c>
      <c r="E77" s="42" t="n"/>
    </row>
    <row r="78" hidden="1" outlineLevel="1" ht="28" customHeight="1">
      <c r="A78" s="42" t="n"/>
      <c r="B78" s="42" t="inlineStr">
        <is>
          <t>공통 / REQ-008 로그인 만료 처리 / 우선순위</t>
        </is>
      </c>
      <c r="C78" s="42" t="inlineStr">
        <is>
          <t>Medium</t>
        </is>
      </c>
      <c r="D78" s="42" t="inlineStr">
        <is>
          <t>Low  (비고에 "우선순위 조정" 문구 추가)
사유: 보안 · 일반 구현</t>
        </is>
      </c>
      <c r="E78" s="42" t="n"/>
    </row>
    <row r="79" hidden="1" outlineLevel="1" ht="28" customHeight="1">
      <c r="A79" s="42" t="n"/>
      <c r="B79" s="42" t="inlineStr">
        <is>
          <t>공통 / REQ-081 이력 삭제 / 우선순위</t>
        </is>
      </c>
      <c r="C79" s="42" t="inlineStr">
        <is>
          <t>Medium</t>
        </is>
      </c>
      <c r="D79" s="42" t="inlineStr">
        <is>
          <t>Low  (비고에 "우선순위 조정" 문구 추가)
사유: 일반 구현</t>
        </is>
      </c>
      <c r="E79" s="42" t="n"/>
    </row>
    <row r="80" hidden="1" outlineLevel="1" ht="28" customHeight="1">
      <c r="A80" s="42" t="n"/>
      <c r="B80" s="42" t="inlineStr">
        <is>
          <t>공통 / REQ-082 실패한 분석 다시 하기 / 우선순위</t>
        </is>
      </c>
      <c r="C80" s="42" t="inlineStr">
        <is>
          <t>Medium</t>
        </is>
      </c>
      <c r="D80" s="42" t="inlineStr">
        <is>
          <t>Low  (비고에 "우선순위 조정" 문구 추가)
사유: 일반 구현</t>
        </is>
      </c>
      <c r="E80" s="42" t="n"/>
    </row>
    <row r="81" hidden="1" outlineLevel="1" ht="28" customHeight="1">
      <c r="A81" s="42" t="n"/>
      <c r="B81" s="42" t="inlineStr">
        <is>
          <t>공통 / REQ-121 공통 오류 화면 / 우선순위</t>
        </is>
      </c>
      <c r="C81" s="42" t="inlineStr">
        <is>
          <t>High</t>
        </is>
      </c>
      <c r="D81" s="42" t="inlineStr">
        <is>
          <t>Medium  (비고에 "우선순위 조정" 문구 추가)
사유: 공통 예외 처리</t>
        </is>
      </c>
      <c r="E81" s="42" t="n"/>
    </row>
    <row r="82" hidden="1" outlineLevel="1" ht="28" customHeight="1">
      <c r="A82" s="42" t="n"/>
      <c r="B82" s="42" t="inlineStr">
        <is>
          <t>비기능 / NFR-004 동시 사용자 / 우선순위</t>
        </is>
      </c>
      <c r="C82" s="42" t="inlineStr">
        <is>
          <t>Medium</t>
        </is>
      </c>
      <c r="D82" s="42" t="inlineStr">
        <is>
          <t>Low  (비고에 "우선순위 조정" 문구 추가)
사유: 일반 구현</t>
        </is>
      </c>
      <c r="E82" s="42" t="n"/>
    </row>
    <row r="83" hidden="1" outlineLevel="1" ht="28" customHeight="1">
      <c r="A83" s="42" t="n"/>
      <c r="B83" s="42" t="inlineStr">
        <is>
          <t>비기능 / NFR-005 캐싱 / 우선순위</t>
        </is>
      </c>
      <c r="C83" s="42" t="inlineStr">
        <is>
          <t>Medium</t>
        </is>
      </c>
      <c r="D83" s="42" t="inlineStr">
        <is>
          <t>Low  (비고에 "우선순위 조정" 문구 추가)
사유: 일반 구현</t>
        </is>
      </c>
      <c r="E83" s="42" t="n"/>
    </row>
    <row r="84" hidden="1" outlineLevel="1" ht="42" customHeight="1">
      <c r="A84" s="42" t="n"/>
      <c r="B84" s="42" t="inlineStr">
        <is>
          <t>비기능 / NFR-010 인증·인가 / 우선순위</t>
        </is>
      </c>
      <c r="C84" s="42" t="inlineStr">
        <is>
          <t>High</t>
        </is>
      </c>
      <c r="D84" s="42" t="inlineStr">
        <is>
          <t>Medium  (비고에 "우선순위 조정" 문구 추가)
사유: 보안 — 본인 데이터만 조회하는 기본만</t>
        </is>
      </c>
      <c r="E84" s="42" t="n"/>
    </row>
    <row r="85" hidden="1" outlineLevel="1" ht="28" customHeight="1">
      <c r="A85" s="42" t="n"/>
      <c r="B85" s="42" t="inlineStr">
        <is>
          <t>비기능 / NFR-011 원본 이미지 미저장 / 우선순위</t>
        </is>
      </c>
      <c r="C85" s="42" t="inlineStr">
        <is>
          <t>High</t>
        </is>
      </c>
      <c r="D85" s="42" t="inlineStr">
        <is>
          <t>Low  (비고에 "우선순위 조정" 문구 추가)
사유: 개인정보</t>
        </is>
      </c>
      <c r="E85" s="42" t="n"/>
    </row>
    <row r="86" hidden="1" outlineLevel="1" ht="28" customHeight="1">
      <c r="A86" s="42" t="n"/>
      <c r="B86" s="42" t="inlineStr">
        <is>
          <t>비기능 / NFR-012 추출 정보 암호화 / 우선순위</t>
        </is>
      </c>
      <c r="C86" s="42" t="inlineStr">
        <is>
          <t>High</t>
        </is>
      </c>
      <c r="D86" s="42" t="inlineStr">
        <is>
          <t>Low  (비고에 "우선순위 조정" 문구 추가)
사유: 보안</t>
        </is>
      </c>
      <c r="E86" s="42" t="n"/>
    </row>
    <row r="87" hidden="1" outlineLevel="1" ht="28" customHeight="1">
      <c r="A87" s="42" t="n"/>
      <c r="B87" s="42" t="inlineStr">
        <is>
          <t>비기능 / NFR-013 식별정보 마스킹 / 우선순위</t>
        </is>
      </c>
      <c r="C87" s="42" t="inlineStr">
        <is>
          <t>High</t>
        </is>
      </c>
      <c r="D87" s="42" t="inlineStr">
        <is>
          <t>Low  (비고에 "우선순위 조정" 문구 추가)
사유: 개인정보</t>
        </is>
      </c>
      <c r="E87" s="42" t="n"/>
    </row>
    <row r="88" hidden="1" outlineLevel="1" ht="28" customHeight="1">
      <c r="A88" s="42" t="n"/>
      <c r="B88" s="42" t="inlineStr">
        <is>
          <t>비기능 / NFR-014 통신 암호화 / 우선순위</t>
        </is>
      </c>
      <c r="C88" s="42" t="inlineStr">
        <is>
          <t>High</t>
        </is>
      </c>
      <c r="D88" s="42" t="inlineStr">
        <is>
          <t>Low  (비고에 "우선순위 조정" 문구 추가)
사유: 보안 — 배포 환경 기본값 사용</t>
        </is>
      </c>
      <c r="E88" s="42" t="n"/>
    </row>
    <row r="89" hidden="1" outlineLevel="1" ht="42" customHeight="1">
      <c r="A89" s="42" t="n"/>
      <c r="B89" s="42" t="inlineStr">
        <is>
          <t>비기능 / NFR-040 배포 환경 / 우선순위</t>
        </is>
      </c>
      <c r="C89" s="42" t="inlineStr">
        <is>
          <t>High</t>
        </is>
      </c>
      <c r="D89" s="42" t="inlineStr">
        <is>
          <t>Medium  (비고에 "우선순위 조정" 문구 추가)
사유: 배포는 필요하지만 캠프 제공 인프라 사용</t>
        </is>
      </c>
      <c r="E89" s="42" t="n"/>
    </row>
    <row r="90" hidden="1" outlineLevel="1" ht="28" customHeight="1">
      <c r="A90" s="42" t="n"/>
      <c r="B90" s="42" t="inlineStr">
        <is>
          <t>비기능 / NFR-041 API 사용량 제한 / 우선순위</t>
        </is>
      </c>
      <c r="C90" s="42" t="inlineStr">
        <is>
          <t>Medium</t>
        </is>
      </c>
      <c r="D90" s="42" t="inlineStr">
        <is>
          <t>Low  (비고에 "우선순위 조정" 문구 추가)
사유: 일반 구현</t>
        </is>
      </c>
      <c r="E90" s="42" t="n"/>
    </row>
    <row r="91" ht="46" customHeight="1">
      <c r="A91" s="39" t="inlineStr">
        <is>
          <t>v1.3</t>
        </is>
      </c>
      <c r="B91" s="39" t="inlineStr">
        <is>
          <t>2026-09-28</t>
        </is>
      </c>
      <c r="C91" s="40" t="inlineStr">
        <is>
          <t>리뷰 반영 — 생활습관 출처 · 칼륨 "의료진 확인", OCR 비동기, 파기 범위 제안, RW-01 · RW-03~05 정리 제안, MVP (제안) 칸 추가</t>
        </is>
      </c>
      <c r="D91" s="43" t="n"/>
      <c r="E91" s="39" t="inlineStr">
        <is>
          <t>이형준</t>
        </is>
      </c>
    </row>
    <row r="92" hidden="1" outlineLevel="1">
      <c r="A92" s="41" t="n"/>
      <c r="B92" s="41" t="inlineStr">
        <is>
          <t>위치</t>
        </is>
      </c>
      <c r="C92" s="41" t="inlineStr">
        <is>
          <t>현행 (As-Is)</t>
        </is>
      </c>
      <c r="D92" s="41" t="inlineStr">
        <is>
          <t>개정 (To-Be)</t>
        </is>
      </c>
      <c r="E92" s="41" t="n"/>
    </row>
    <row r="93" hidden="1" outlineLevel="1" ht="70" customHeight="1">
      <c r="A93" s="42" t="n"/>
      <c r="B93" s="42" t="inlineStr">
        <is>
          <t>RAG / REQ-060 질환별 생활습관 가이드 / 상세 내용</t>
        </is>
      </c>
      <c r="C93" s="42" t="inlineStr">
        <is>
          <t>시스템은 인식된 상병코드에 해당하는 생활습관 개선 가이드를 제공해야 한다.</t>
        </is>
      </c>
      <c r="D93" s="42" t="inlineStr">
        <is>
          <t>시스템은 인식된 상병코드에 해당하는 생활습관 개선 가이드를 제공해야 한다. 실천 항목마다 근거 출처(기관 · 문서명 · 판 · 발행일 · URL)를 함께 표시한다.
사유: 출처가 "질병관리청 · 관련 학회 지침" 한 줄이면 검증 · 갱신 불가 (리뷰 지적 5 · ERD v1.2 lifestyle_guide_sources)</t>
        </is>
      </c>
      <c r="E93" s="42" t="n"/>
    </row>
    <row r="94" hidden="1" outlineLevel="1" ht="70" customHeight="1">
      <c r="A94" s="42" t="n"/>
      <c r="B94" s="42" t="inlineStr">
        <is>
          <t>RAG / REQ-061 복약 연계 가이드 / 상세 내용</t>
        </is>
      </c>
      <c r="C94" s="42" t="inlineStr">
        <is>
          <t>시스템은 복용 중인 약물군과 연계한 생활습관 주의사항을 제공해야 한다.</t>
        </is>
      </c>
      <c r="D94" s="42" t="inlineStr">
        <is>
          <t>시스템은 복용 중인 약물군과 연계한 생활습관 주의사항을 제공해야 한다. 칼륨처럼 신장 기능 · 병용 약에 따라 권고가 달라지는 항목은 "의료진 확인" 안내로만 표시하고 실천 목표로 만들지 않는다.
사유: 이뇨제 + 칼륨 섭취 권고는 신장 기능 · 이뇨제 종류 · ACE억제제/ARB 병용에 따라 고칼륨혈증 위험 (리뷰 지적 3)</t>
        </is>
      </c>
      <c r="E94" s="42" t="n"/>
    </row>
    <row r="95" hidden="1" outlineLevel="1" ht="28" customHeight="1">
      <c r="A95" s="42" t="n"/>
      <c r="B95" s="42" t="inlineStr">
        <is>
          <t>RAG / REQ-061 복약 연계 가이드 / 비고</t>
        </is>
      </c>
      <c r="C95" s="42" t="inlineStr">
        <is>
          <t>예: 이뇨제 복용 시 칼륨 / 와파린 복용 시 비타민K</t>
        </is>
      </c>
      <c r="D95" s="42" t="inlineStr">
        <is>
          <t>예: 이뇨제 · ACE억제제/ARB와 칼륨 (의료진 확인) / 와파린 복용 시 비타민K</t>
        </is>
      </c>
      <c r="E95" s="42" t="n"/>
    </row>
    <row r="96" hidden="1" outlineLevel="1" ht="56" customHeight="1">
      <c r="A96" s="42" t="n"/>
      <c r="B96" s="42" t="inlineStr">
        <is>
          <t>비기능 / NFR-002 비동기 처리 / 상세 내용</t>
        </is>
      </c>
      <c r="C96" s="42" t="inlineStr">
        <is>
          <t>안내문 생성 요청은 즉시 작업 ID를 반환하고 결과는 폴링으로 조회한다.</t>
        </is>
      </c>
      <c r="D96" s="42" t="inlineStr">
        <is>
          <t>안내문 생성 · OCR 요청은 즉시 작업 ID를 반환하고 결과는 폴링으로 조회한다.
사유: OCR 처리 시간이 P95 3초(NFR-001)와 충돌할 수 있어 측정 전에 비동기로 준비 [채연 확인 필요]</t>
        </is>
      </c>
      <c r="E96" s="42" t="n"/>
    </row>
    <row r="97" hidden="1" outlineLevel="1" ht="28" customHeight="1">
      <c r="A97" s="42" t="n"/>
      <c r="B97" s="42" t="inlineStr">
        <is>
          <t>비기능 / NFR-002 비동기 처리 / 관련 화면</t>
        </is>
      </c>
      <c r="C97" s="42" t="inlineStr">
        <is>
          <t>RG-01</t>
        </is>
      </c>
      <c r="D97" s="42" t="inlineStr">
        <is>
          <t>RG-01 · OC-01</t>
        </is>
      </c>
      <c r="E97" s="42" t="n"/>
    </row>
    <row r="98" hidden="1" outlineLevel="1" ht="28" customHeight="1">
      <c r="A98" s="42" t="n"/>
      <c r="B98" s="42" t="inlineStr">
        <is>
          <t>비기능 / NFR-002 비동기 처리 / 관련 API</t>
        </is>
      </c>
      <c r="C98" s="42" t="inlineStr">
        <is>
          <t>R-1 · R-2</t>
        </is>
      </c>
      <c r="D98" s="42" t="inlineStr">
        <is>
          <t>R-1 · R-2 · O-1 · O-5</t>
        </is>
      </c>
      <c r="E98" s="42" t="n"/>
    </row>
    <row r="99" hidden="1" outlineLevel="1" ht="42" customHeight="1">
      <c r="A99" s="42" t="n"/>
      <c r="B99" s="42" t="inlineStr">
        <is>
          <t>OCR / REQ-010 처방전 이미지 업로드 / 관련 API</t>
        </is>
      </c>
      <c r="C99" s="42" t="inlineStr">
        <is>
          <t>O-1</t>
        </is>
      </c>
      <c r="D99" s="42" t="inlineStr">
        <is>
          <t>O-1 · O-5
사유: O-1이 202 + 작업 ID를 반환하고 O-5로 결과 조회 (API v1.1)</t>
        </is>
      </c>
      <c r="E99" s="42" t="n"/>
    </row>
    <row r="100" hidden="1" outlineLevel="1" ht="42" customHeight="1">
      <c r="A100" s="42" t="n"/>
      <c r="B100" s="42" t="inlineStr">
        <is>
          <t>OCR / REQ-011 카메라 촬영 업로드 / 관련 API</t>
        </is>
      </c>
      <c r="C100" s="42" t="inlineStr">
        <is>
          <t>O-1</t>
        </is>
      </c>
      <c r="D100" s="42" t="inlineStr">
        <is>
          <t>O-1 · O-5
사유: O-1이 202 + 작업 ID를 반환하고 O-5로 결과 조회 (API v1.1)</t>
        </is>
      </c>
      <c r="E100" s="42" t="n"/>
    </row>
    <row r="101" hidden="1" outlineLevel="1" ht="42" customHeight="1">
      <c r="A101" s="42" t="n"/>
      <c r="B101" s="42" t="inlineStr">
        <is>
          <t>OCR / REQ-012 약봉투 업로드 / 관련 API</t>
        </is>
      </c>
      <c r="C101" s="42" t="inlineStr">
        <is>
          <t>O-1</t>
        </is>
      </c>
      <c r="D101" s="42" t="inlineStr">
        <is>
          <t>O-1 · O-5
사유: O-1이 202 + 작업 ID를 반환하고 O-5로 결과 조회 (API v1.1)</t>
        </is>
      </c>
      <c r="E101" s="42" t="n"/>
    </row>
    <row r="102" hidden="1" outlineLevel="1" ht="42" customHeight="1">
      <c r="A102" s="42" t="n"/>
      <c r="B102" s="42" t="inlineStr">
        <is>
          <t>OCR / REQ-013 다중 업로드 / 관련 API</t>
        </is>
      </c>
      <c r="C102" s="42" t="inlineStr">
        <is>
          <t>O-1</t>
        </is>
      </c>
      <c r="D102" s="42" t="inlineStr">
        <is>
          <t>O-1 · O-5
사유: O-1이 202 + 작업 ID를 반환하고 O-5로 결과 조회 (API v1.1)</t>
        </is>
      </c>
      <c r="E102" s="42" t="n"/>
    </row>
    <row r="103" hidden="1" outlineLevel="1" ht="28" customHeight="1">
      <c r="A103" s="42" t="n"/>
      <c r="B103" s="42" t="inlineStr">
        <is>
          <t>OCR / REQ-016 촬영 품질 사전 검사 / 관련 API</t>
        </is>
      </c>
      <c r="C103" s="42" t="inlineStr">
        <is>
          <t>O-1 (422)</t>
        </is>
      </c>
      <c r="D103" s="42" t="inlineStr">
        <is>
          <t>O-5 (IMAGE_QUALITY_LOW)</t>
        </is>
      </c>
      <c r="E103" s="42" t="n"/>
    </row>
    <row r="104" hidden="1" outlineLevel="1" ht="28" customHeight="1">
      <c r="A104" s="42" t="n"/>
      <c r="B104" s="42" t="inlineStr">
        <is>
          <t>OCR / REQ-017 관련 없는 사진 감지 / 관련 API</t>
        </is>
      </c>
      <c r="C104" s="42" t="inlineStr">
        <is>
          <t>O-1 (422)</t>
        </is>
      </c>
      <c r="D104" s="42" t="inlineStr">
        <is>
          <t>O-5 (NOT_A_DOCUMENT)</t>
        </is>
      </c>
      <c r="E104" s="42" t="n"/>
    </row>
    <row r="105" hidden="1" outlineLevel="1" ht="70" customHeight="1">
      <c r="A105" s="42" t="n"/>
      <c r="B105" s="42" t="inlineStr">
        <is>
          <t>공통 / REQ-004 회원 탈퇴 / 상세 내용</t>
        </is>
      </c>
      <c r="C105" s="42" t="inlineStr">
        <is>
          <t>사용자는 탈퇴 전 지워지는 정보 목록을 확인하고 동의해야 하며, 탈퇴 시 진료 정보 · 분석 결과 · 안내문 · 실천 기록 · 챗봇 대화가 즉시 삭제된다.</t>
        </is>
      </c>
      <c r="D105" s="42" t="inlineStr">
        <is>
          <t>사용자는 탈퇴 전 지워지는 정보 목록을 확인하고 동의해야 하며, 탈퇴 시 진료 정보 · 분석 결과 · 안내문 · 피드백 · 챗봇 대화 · 실천 목표 · 실천 기록 · 포인트 · 동의 기록이 즉시 삭제된다.
사유: 삭제 대상에 피드백 · 포인트 · 동의 기록이 빠져 있었음 (리뷰 지적 · API v1.1 U-3 표)</t>
        </is>
      </c>
      <c r="E105" s="42" t="n"/>
    </row>
    <row r="106" hidden="1" outlineLevel="1" ht="20" customHeight="1">
      <c r="A106" s="42" t="n"/>
      <c r="B106" s="42" t="inlineStr">
        <is>
          <t>공통 / REQ-004 회원 탈퇴 / 상태</t>
        </is>
      </c>
      <c r="C106" s="42" t="inlineStr">
        <is>
          <t>확정</t>
        </is>
      </c>
      <c r="D106" s="42" t="inlineStr">
        <is>
          <t>팀 확인 필요</t>
        </is>
      </c>
      <c r="E106" s="42" t="n"/>
    </row>
    <row r="107" hidden="1" outlineLevel="1" ht="70" customHeight="1">
      <c r="A107" s="42" t="n"/>
      <c r="B107" s="42" t="inlineStr">
        <is>
          <t>공통 / REQ-007 동의 내역 조회 · 철회 / 상세 내용</t>
        </is>
      </c>
      <c r="C107" s="42" t="inlineStr">
        <is>
          <t>사용자는 동의한 약관과 동의 일시를 확인하고 민감정보 수집 동의를 철회할 수 있어야 한다. 철회하면 업로드 · 분석을 이용할 수 없다.</t>
        </is>
      </c>
      <c r="D107" s="42" t="inlineStr">
        <is>
          <t>사용자는 동의한 약관과 동의 일시를 확인하고 민감정보 수집 동의를 철회할 수 있어야 한다. 철회하면 업로드 · 분석을 이용할 수 없고, 처방전 · 분석 · 안내문 · 피드백 · 챗봇 대화는 삭제된다. 실천 목표는 종료하되 기록 · 포인트는 남긴다(질환 라벨은 지움).
사유: 철회 시 기존 기록 처리 방식 미정 → 제안안 (API v1.1 U-5) [팀 확인 필요]</t>
        </is>
      </c>
      <c r="E107" s="42" t="n"/>
    </row>
    <row r="108" hidden="1" outlineLevel="1" ht="28" customHeight="1">
      <c r="A108" s="42" t="n"/>
      <c r="B108" s="42" t="inlineStr">
        <is>
          <t>공통 / REQ-007 동의 내역 조회 · 철회 / 비고</t>
        </is>
      </c>
      <c r="C108" s="42" t="inlineStr">
        <is>
          <t>철회 시 기존 기록 처리 방식 미정 · 우선순위 조정: 개인정보</t>
        </is>
      </c>
      <c r="D108" s="42" t="inlineStr">
        <is>
          <t>파기 범위 제안 v1.3 — 9/28 16시 오후 미팅 확인 · 우선순위 조정: 개인정보</t>
        </is>
      </c>
      <c r="E108" s="42" t="n"/>
    </row>
    <row r="109" hidden="1" outlineLevel="1" ht="70" customHeight="1">
      <c r="A109" s="42" t="n"/>
      <c r="B109" s="42" t="inlineStr">
        <is>
          <t>공통 / REQ-081 이력 삭제 / 상세 내용</t>
        </is>
      </c>
      <c r="C109" s="42" t="inlineStr">
        <is>
          <t>사용자는 개별 분석 기록을 삭제할 수 있어야 하며, 삭제 전 확인 창을 거친다. 지운 기록은 되돌릴 수 없다.</t>
        </is>
      </c>
      <c r="D109" s="42" t="inlineStr">
        <is>
          <t>사용자는 개별 분석 기록을 삭제할 수 있어야 하며, 삭제 전 확인 창을 거친다. 지운 기록은 되돌릴 수 없다. 이 분석에만 쓰인 처방전도 함께 지우고, 이미 만든 실천 목표 · 기록 · 포인트는 남긴다.
사유: 실천 목표 · 포인트 처리 미정 → 제안안 (API v1.1 R-8) [성규 확인 필요]</t>
        </is>
      </c>
      <c r="E109" s="42" t="n"/>
    </row>
    <row r="110" hidden="1" outlineLevel="1" ht="28" customHeight="1">
      <c r="A110" s="42" t="n"/>
      <c r="B110" s="42" t="inlineStr">
        <is>
          <t>공통 / REQ-081 이력 삭제 / 비고</t>
        </is>
      </c>
      <c r="C110" s="42" t="inlineStr">
        <is>
          <t>삭제한 기록에서 생긴 실천 목표 · 포인트 처리 → 성규와 결정 · 우선순위 조정: 일반 구현</t>
        </is>
      </c>
      <c r="D110" s="42" t="inlineStr">
        <is>
          <t>실천 목표 · 포인트는 남기고 추천 연결만 끊는 안 → 성규 확인 · 우선순위 조정: 일반 구현</t>
        </is>
      </c>
      <c r="E110" s="42" t="n"/>
    </row>
    <row r="111" hidden="1" outlineLevel="1" ht="28" customHeight="1">
      <c r="A111" s="42" t="n"/>
      <c r="B111" s="42" t="inlineStr">
        <is>
          <t>실천·보상 / REQ-110 생활습관 추천 결과 / 비고</t>
        </is>
      </c>
      <c r="C111" s="42" t="inlineStr">
        <is>
          <t>RW-01과 RG-05 통합 검토. 원 REQ-HABIT-001</t>
        </is>
      </c>
      <c r="D111" s="42" t="inlineStr">
        <is>
          <t>RW-01 삭제 제안 — RG-05 [실천 시작하기]에서 RW-02로 바로 연결 (v1.3 · 성규 확인). 원 REQ-HABIT-001</t>
        </is>
      </c>
      <c r="E111" s="42" t="n"/>
    </row>
    <row r="112" hidden="1" outlineLevel="1" ht="28" customHeight="1">
      <c r="A112" s="42" t="n"/>
      <c r="B112" s="42" t="inlineStr">
        <is>
          <t>실천·보상 / REQ-112 오늘의 실천 기록 / 비고</t>
        </is>
      </c>
      <c r="C112" s="42" t="inlineStr">
        <is>
          <t>원 REQ-HABIT-003 · 004</t>
        </is>
      </c>
      <c r="D112" s="42" t="inlineStr">
        <is>
          <t>RW-03 · RW-04 · RW-05를 한 화면의 상태(미실천 · 일부 완료 · 전체 완료)로 합치는 안 (v1.3 · 성규 확인). 원 REQ-HABIT-003 · 004</t>
        </is>
      </c>
      <c r="E112" s="42" t="n"/>
    </row>
    <row r="113" hidden="1" outlineLevel="1" ht="84" customHeight="1">
      <c r="A113" s="42" t="n"/>
      <c r="B113" s="42" t="inlineStr">
        <is>
          <t>전체 탭 / MVP (제안) 칸 — 신규</t>
        </is>
      </c>
      <c r="C113" s="42" t="inlineStr">
        <is>
          <t>(없음) — 범위 구분 없이 101건 (화면 45개)</t>
        </is>
      </c>
      <c r="D113" s="42" t="inlineStr">
        <is>
          <t>N열 "MVP (제안)" 추가: 후순위 11건 (REQ-015 · 076~079 · 100 · 101 · 113 · 114 · 116 · 117), 나머지 MVP
MVP 흐름: 업로드 → OCR 확인 → 분석 → 결과 → 결과 연계 챗봇 + 실천 목표 선택 · 체크
사유: 4주 일정에 45개 화면은 과다 (리뷰 지적 4) — 9/28 16시 오후 미팅에서 확정</t>
        </is>
      </c>
      <c r="E113" s="42" t="n"/>
    </row>
    <row r="114" hidden="1" outlineLevel="1" ht="20" customHeight="1">
      <c r="A114" s="42" t="n"/>
      <c r="B114" s="42" t="inlineStr">
        <is>
          <t>요약 / MVP (제안) 집계 칸</t>
        </is>
      </c>
      <c r="C114" s="42" t="inlineStr">
        <is>
          <t>(없음)</t>
        </is>
      </c>
      <c r="D114" s="42" t="inlineStr">
        <is>
          <t>K열 "MVP (제안)" 탭별 개수 · 합계</t>
        </is>
      </c>
      <c r="E114" s="42" t="n"/>
    </row>
    <row r="115" hidden="1" outlineLevel="1" ht="28" customHeight="1">
      <c r="A115" s="42" t="n"/>
      <c r="B115" s="42" t="inlineStr">
        <is>
          <t>요약 / 참고 문서</t>
        </is>
      </c>
      <c r="C115" s="42" t="inlineStr">
        <is>
          <t>API 명세서: API 명세서_6기_5팀_v1.0.md · ERD: ERD_6기_5팀_v1.0.dbml</t>
        </is>
      </c>
      <c r="D115" s="42" t="inlineStr">
        <is>
          <t>API 명세서: API 명세서_6기_5팀_v1.1.md · ERD: ERD_6기_5팀_v1.2.xlsx · ERD_6기_5팀_v1.2.dbml</t>
        </is>
      </c>
      <c r="E115" s="42" t="n"/>
    </row>
    <row r="116" hidden="1" outlineLevel="1" ht="20" customHeight="1">
      <c r="A116" s="42" t="n"/>
      <c r="B116" s="42" t="inlineStr">
        <is>
          <t>작성 규칙 / MVP (제안) — 신규 행</t>
        </is>
      </c>
      <c r="C116" s="42" t="inlineStr">
        <is>
          <t>(없음)</t>
        </is>
      </c>
      <c r="D116" s="42" t="inlineStr">
        <is>
          <t>MVP · 후순위 뜻과 확정 시점 설명</t>
        </is>
      </c>
      <c r="E116" s="42" t="n"/>
    </row>
    <row r="117" hidden="1" outlineLevel="1" ht="28" customHeight="1">
      <c r="A117" s="42" t="n"/>
      <c r="B117" s="42" t="inlineStr">
        <is>
          <t>파일 이름 · 탭 제목 버전</t>
        </is>
      </c>
      <c r="C117" s="42" t="inlineStr">
        <is>
          <t>요구사항 정의서_6기_5팀_v1.2.xlsx · "요구사항 정의서 v1.2"</t>
        </is>
      </c>
      <c r="D117" s="42" t="inlineStr">
        <is>
          <t>요구사항 정의서_6기_5팀_v1.3.xlsx · "요구사항 정의서 v1.3"</t>
        </is>
      </c>
      <c r="E117" s="42" t="n"/>
    </row>
    <row r="118" ht="46" customHeight="1">
      <c r="A118" s="39" t="inlineStr">
        <is>
          <t>v1.4</t>
        </is>
      </c>
      <c r="B118" s="39" t="inlineStr">
        <is>
          <t>2026-09-29</t>
        </is>
      </c>
      <c r="C118" s="40" t="inlineStr">
        <is>
          <t>RW-01 제외 확정 반영 (REQ-110 · NFR-033 관련 화면), 확정 시점 문구 "9/28 16시 미팅" → "다음 팀 회의", API 명세서 v1.2 참조</t>
        </is>
      </c>
      <c r="D118" s="43" t="n"/>
      <c r="E118" s="39" t="inlineStr">
        <is>
          <t>이형준</t>
        </is>
      </c>
    </row>
    <row r="119" hidden="1" outlineLevel="1">
      <c r="A119" s="41" t="n"/>
      <c r="B119" s="41" t="inlineStr">
        <is>
          <t>위치</t>
        </is>
      </c>
      <c r="C119" s="41" t="inlineStr">
        <is>
          <t>현행 (As-Is)</t>
        </is>
      </c>
      <c r="D119" s="41" t="inlineStr">
        <is>
          <t>개정 (To-Be)</t>
        </is>
      </c>
      <c r="E119" s="41" t="n"/>
    </row>
    <row r="120" hidden="1" outlineLevel="1" ht="46" customHeight="1">
      <c r="A120" s="42" t="n"/>
      <c r="B120" s="42" t="inlineStr">
        <is>
          <t>실천·보상 / REQ-110 생활습관 추천 결과 / 관련 화면</t>
        </is>
      </c>
      <c r="C120" s="42" t="inlineStr">
        <is>
          <t>RW-01 · RG-05</t>
        </is>
      </c>
      <c r="D120" s="42" t="inlineStr">
        <is>
          <t>RG-05</t>
        </is>
      </c>
      <c r="E120" s="42" t="n"/>
    </row>
    <row r="121" hidden="1" outlineLevel="1" ht="46" customHeight="1">
      <c r="A121" s="42" t="n"/>
      <c r="B121" s="42" t="inlineStr">
        <is>
          <t>실천·보상 / REQ-110 생활습관 추천 결과 / 비고</t>
        </is>
      </c>
      <c r="C121" s="42" t="inlineStr">
        <is>
          <t>RW-01 삭제 제안 — RG-05 [실천 시작하기]에서 RW-02로 바로 연결 (v1.3 · 성규 확인). 원 REQ-HABIT-001</t>
        </is>
      </c>
      <c r="D121" s="42" t="inlineStr">
        <is>
          <t>RW-01 제외 확정 (2026-09-28, 한성규) — RG-05 [이 목표로 실천 시작하기]에서 RW-02로 바로 연결. 원 REQ-HABIT-001</t>
        </is>
      </c>
      <c r="E121" s="42" t="n"/>
    </row>
    <row r="122" hidden="1" outlineLevel="1" ht="46" customHeight="1">
      <c r="A122" s="42" t="n"/>
      <c r="B122" s="42" t="inlineStr">
        <is>
          <t>비기능 / NFR-033 의료 표현 기준 / 관련 화면</t>
        </is>
      </c>
      <c r="C122" s="42" t="inlineStr">
        <is>
          <t>RG-02~05 · CB-01 · RW-01</t>
        </is>
      </c>
      <c r="D122" s="42" t="inlineStr">
        <is>
          <t>RG-02~05 · CB-01</t>
        </is>
      </c>
      <c r="E122" s="42" t="n"/>
    </row>
    <row r="123" hidden="1" outlineLevel="1" ht="46" customHeight="1">
      <c r="A123" s="42" t="n"/>
      <c r="B123" s="42" t="inlineStr">
        <is>
          <t>작성 규칙 / MVP (제안) 확정 시점</t>
        </is>
      </c>
      <c r="C123" s="42" t="inlineStr">
        <is>
          <t>MVP = 스프린트 안에 반드시 만드는 것 / 후순위 = MVP 끝난 뒤. v1.3 기준 제안값이며 9/28 16시 오후 미팅에서 확정</t>
        </is>
      </c>
      <c r="D123" s="42" t="inlineStr">
        <is>
          <t>MVP = 스프린트 안에 반드시 만드는 것 / 후순위 = MVP 끝난 뒤. v1.3 기준 제안값이며 다음 팀 회의에서 확정</t>
        </is>
      </c>
      <c r="E123" s="42" t="n"/>
    </row>
    <row r="124" hidden="1" outlineLevel="1" ht="46" customHeight="1">
      <c r="A124" s="42" t="n"/>
      <c r="B124" s="42" t="inlineStr">
        <is>
          <t>공통 / REQ-007 동의 내역 조회 · 철회 / 비고</t>
        </is>
      </c>
      <c r="C124" s="42" t="inlineStr">
        <is>
          <t>파기 범위 제안 v1.3 — 9/28 16시 오후 미팅 확인 · 우선순위 조정: 개인정보</t>
        </is>
      </c>
      <c r="D124" s="42" t="inlineStr">
        <is>
          <t>파기 범위 제안 v1.3 — 다음 팀 회의 확인 · 우선순위 조정: 개인정보</t>
        </is>
      </c>
      <c r="E124" s="42" t="n"/>
    </row>
    <row r="125" hidden="1" outlineLevel="1" ht="46" customHeight="1">
      <c r="A125" s="42" t="n"/>
      <c r="B125" s="42" t="inlineStr">
        <is>
          <t>요약 / 참고 문서 / API 명세서</t>
        </is>
      </c>
      <c r="C125" s="42" t="inlineStr">
        <is>
          <t>API 명세서_6기_5팀_v1.1.md</t>
        </is>
      </c>
      <c r="D125" s="42" t="inlineStr">
        <is>
          <t>API 명세서_6기_5팀_v1.2.md</t>
        </is>
      </c>
      <c r="E125" s="42" t="n"/>
    </row>
    <row r="126" hidden="1" outlineLevel="1" ht="46" customHeight="1">
      <c r="A126" s="42" t="n"/>
      <c r="B126" s="42" t="inlineStr">
        <is>
          <t>파일 이름 · 탭 제목 버전</t>
        </is>
      </c>
      <c r="C126" s="42" t="inlineStr">
        <is>
          <t>요구사항 정의서_6기_5팀_v1.3.xlsx · "요구사항 정의서 v1.3"</t>
        </is>
      </c>
      <c r="D126" s="42" t="inlineStr">
        <is>
          <t>요구사항 정의서_6기_5팀_v1.4.xlsx · "요구사항 정의서 v1.4"</t>
        </is>
      </c>
      <c r="E126" s="42" t="n"/>
    </row>
  </sheetData>
  <mergeCells count="9">
    <mergeCell ref="C91:D91"/>
    <mergeCell ref="C68:D68"/>
    <mergeCell ref="A2:E2"/>
    <mergeCell ref="C65:D65"/>
    <mergeCell ref="C5:D5"/>
    <mergeCell ref="A1:E1"/>
    <mergeCell ref="C118:D118"/>
    <mergeCell ref="C3:D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8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11" customWidth="1" min="11" max="11"/>
  </cols>
  <sheetData>
    <row r="1">
      <c r="A1" s="1" t="inlineStr">
        <is>
          <t>요구사항 정의서 v1.4 · 5팀 · 진료 기록 기반 복약 안내 및 생활습관 개선 가이드 자동 생성 시스템</t>
        </is>
      </c>
    </row>
    <row r="2">
      <c r="A2" s="2" t="inlineStr">
        <is>
          <t>작성 2026-09-24 · 탭별로 담당자가 관리 · 아래 숫자는 각 탭에서 자동 집계 (행을 추가해도 반영됨)</t>
        </is>
      </c>
    </row>
    <row r="4">
      <c r="A4" s="3" t="inlineStr">
        <is>
          <t>탭</t>
        </is>
      </c>
      <c r="B4" s="3" t="inlineStr">
        <is>
          <t>담당 · 범위</t>
        </is>
      </c>
      <c r="C4" s="3" t="inlineStr">
        <is>
          <t>전체</t>
        </is>
      </c>
      <c r="D4" s="3" t="inlineStr">
        <is>
          <t>확정</t>
        </is>
      </c>
      <c r="E4" s="3" t="inlineStr">
        <is>
          <t>팀 확인 필요</t>
        </is>
      </c>
      <c r="F4" s="3" t="inlineStr">
        <is>
          <t>선택 구현</t>
        </is>
      </c>
      <c r="G4" s="3" t="inlineStr">
        <is>
          <t>보류</t>
        </is>
      </c>
      <c r="H4" s="3" t="inlineStr">
        <is>
          <t>High</t>
        </is>
      </c>
      <c r="I4" s="3" t="inlineStr">
        <is>
          <t>신규</t>
        </is>
      </c>
      <c r="J4" s="3" t="inlineStr">
        <is>
          <t>수정</t>
        </is>
      </c>
      <c r="K4" s="3" t="inlineStr">
        <is>
          <t>MVP (제안)</t>
        </is>
      </c>
    </row>
    <row r="5">
      <c r="A5" s="4" t="inlineStr">
        <is>
          <t>공통</t>
        </is>
      </c>
      <c r="B5" s="5" t="inlineStr">
        <is>
          <t>형준 · 회원 · 지난 기록 · 홈 · 공통 오류</t>
        </is>
      </c>
      <c r="C5" s="6">
        <f>COUNTA('공통'!$A$5:$A$67)</f>
        <v/>
      </c>
      <c r="D5" s="6">
        <f>COUNTIF('공통'!$J$5:$J$67,"확정")</f>
        <v/>
      </c>
      <c r="E5" s="6">
        <f>COUNTIF('공통'!$J$5:$J$67,"팀 확인 필요")</f>
        <v/>
      </c>
      <c r="F5" s="6">
        <f>COUNTIF('공통'!$J$5:$J$67,"선택 구현")</f>
        <v/>
      </c>
      <c r="G5" s="6">
        <f>COUNTIF('공통'!$J$5:$J$67,"보류")</f>
        <v/>
      </c>
      <c r="H5" s="6">
        <f>COUNTIF('공통'!$F$5:$F$67,"High")</f>
        <v/>
      </c>
      <c r="I5" s="6">
        <f>COUNTIF('공통'!$K$5:$K$67,"신규")</f>
        <v/>
      </c>
      <c r="J5" s="6">
        <f>COUNTIF('공통'!$K$5:$K$67,"수정")</f>
        <v/>
      </c>
      <c r="K5" s="6">
        <f>COUNTIF('공통'!$N$5:$N$67,"MVP")</f>
        <v/>
      </c>
    </row>
    <row r="6">
      <c r="A6" s="4" t="inlineStr">
        <is>
          <t>OCR</t>
        </is>
      </c>
      <c r="B6" s="5" t="inlineStr">
        <is>
          <t>채연 · 촬영 · 업로드 · 인식 · 약품 매칭</t>
        </is>
      </c>
      <c r="C6" s="6">
        <f>COUNTA('OCR'!$A$5:$A$73)</f>
        <v/>
      </c>
      <c r="D6" s="6">
        <f>COUNTIF('OCR'!$J$5:$J$73,"확정")</f>
        <v/>
      </c>
      <c r="E6" s="6">
        <f>COUNTIF('OCR'!$J$5:$J$73,"팀 확인 필요")</f>
        <v/>
      </c>
      <c r="F6" s="6">
        <f>COUNTIF('OCR'!$J$5:$J$73,"선택 구현")</f>
        <v/>
      </c>
      <c r="G6" s="6">
        <f>COUNTIF('OCR'!$J$5:$J$73,"보류")</f>
        <v/>
      </c>
      <c r="H6" s="6">
        <f>COUNTIF('OCR'!$F$5:$F$73,"High")</f>
        <v/>
      </c>
      <c r="I6" s="6">
        <f>COUNTIF('OCR'!$K$5:$K$73,"신규")</f>
        <v/>
      </c>
      <c r="J6" s="6">
        <f>COUNTIF('OCR'!$K$5:$K$73,"수정")</f>
        <v/>
      </c>
      <c r="K6" s="6">
        <f>COUNTIF('OCR'!$N$5:$N$73,"MVP")</f>
        <v/>
      </c>
    </row>
    <row r="7">
      <c r="A7" s="4" t="inlineStr">
        <is>
          <t>RAG</t>
        </is>
      </c>
      <c r="B7" s="5" t="inlineStr">
        <is>
          <t>형준 · 안전성 점검 · 복약 안내 · 생활습관 · 피드백</t>
        </is>
      </c>
      <c r="C7" s="6">
        <f>COUNTA('RAG'!$A$5:$A$82)</f>
        <v/>
      </c>
      <c r="D7" s="6">
        <f>COUNTIF('RAG'!$J$5:$J$82,"확정")</f>
        <v/>
      </c>
      <c r="E7" s="6">
        <f>COUNTIF('RAG'!$J$5:$J$82,"팀 확인 필요")</f>
        <v/>
      </c>
      <c r="F7" s="6">
        <f>COUNTIF('RAG'!$J$5:$J$82,"선택 구현")</f>
        <v/>
      </c>
      <c r="G7" s="6">
        <f>COUNTIF('RAG'!$J$5:$J$82,"보류")</f>
        <v/>
      </c>
      <c r="H7" s="6">
        <f>COUNTIF('RAG'!$F$5:$F$82,"High")</f>
        <v/>
      </c>
      <c r="I7" s="6">
        <f>COUNTIF('RAG'!$K$5:$K$82,"신규")</f>
        <v/>
      </c>
      <c r="J7" s="6">
        <f>COUNTIF('RAG'!$K$5:$K$82,"수정")</f>
        <v/>
      </c>
      <c r="K7" s="6">
        <f>COUNTIF('RAG'!$N$5:$N$82,"MVP")</f>
        <v/>
      </c>
    </row>
    <row r="8">
      <c r="A8" s="4" t="inlineStr">
        <is>
          <t>챗봇</t>
        </is>
      </c>
      <c r="B8" s="5" t="inlineStr">
        <is>
          <t>수인 · 실시간 챗봇</t>
        </is>
      </c>
      <c r="C8" s="6">
        <f>COUNTA('챗봇'!$A$5:$A$64)</f>
        <v/>
      </c>
      <c r="D8" s="6">
        <f>COUNTIF('챗봇'!$J$5:$J$64,"확정")</f>
        <v/>
      </c>
      <c r="E8" s="6">
        <f>COUNTIF('챗봇'!$J$5:$J$64,"팀 확인 필요")</f>
        <v/>
      </c>
      <c r="F8" s="6">
        <f>COUNTIF('챗봇'!$J$5:$J$64,"선택 구현")</f>
        <v/>
      </c>
      <c r="G8" s="6">
        <f>COUNTIF('챗봇'!$J$5:$J$64,"보류")</f>
        <v/>
      </c>
      <c r="H8" s="6">
        <f>COUNTIF('챗봇'!$F$5:$F$64,"High")</f>
        <v/>
      </c>
      <c r="I8" s="6">
        <f>COUNTIF('챗봇'!$K$5:$K$64,"신규")</f>
        <v/>
      </c>
      <c r="J8" s="6">
        <f>COUNTIF('챗봇'!$K$5:$K$64,"수정")</f>
        <v/>
      </c>
      <c r="K8" s="6">
        <f>COUNTIF('챗봇'!$N$5:$N$64,"MVP")</f>
        <v/>
      </c>
    </row>
    <row r="9">
      <c r="A9" s="4" t="inlineStr">
        <is>
          <t>실천·보상</t>
        </is>
      </c>
      <c r="B9" s="5" t="inlineStr">
        <is>
          <t>성규 · 추천 · 목표 · 실천 기록 · 포인트</t>
        </is>
      </c>
      <c r="C9" s="6">
        <f>COUNTA('실천·보상'!$A$5:$A$62)</f>
        <v/>
      </c>
      <c r="D9" s="6">
        <f>COUNTIF('실천·보상'!$J$5:$J$62,"확정")</f>
        <v/>
      </c>
      <c r="E9" s="6">
        <f>COUNTIF('실천·보상'!$J$5:$J$62,"팀 확인 필요")</f>
        <v/>
      </c>
      <c r="F9" s="6">
        <f>COUNTIF('실천·보상'!$J$5:$J$62,"선택 구현")</f>
        <v/>
      </c>
      <c r="G9" s="6">
        <f>COUNTIF('실천·보상'!$J$5:$J$62,"보류")</f>
        <v/>
      </c>
      <c r="H9" s="6">
        <f>COUNTIF('실천·보상'!$F$5:$F$62,"High")</f>
        <v/>
      </c>
      <c r="I9" s="6">
        <f>COUNTIF('실천·보상'!$K$5:$K$62,"신규")</f>
        <v/>
      </c>
      <c r="J9" s="6">
        <f>COUNTIF('실천·보상'!$K$5:$K$62,"수정")</f>
        <v/>
      </c>
      <c r="K9" s="6">
        <f>COUNTIF('실천·보상'!$N$5:$N$62,"MVP")</f>
        <v/>
      </c>
    </row>
    <row r="10">
      <c r="A10" s="4" t="inlineStr">
        <is>
          <t>비기능</t>
        </is>
      </c>
      <c r="B10" s="5" t="inlineStr">
        <is>
          <t>공통 · 성능 · 보안 · 사용성 · 품질 · 운영 · 확장성</t>
        </is>
      </c>
      <c r="C10" s="6">
        <f>COUNTA('비기능'!$A$5:$A$77)</f>
        <v/>
      </c>
      <c r="D10" s="6">
        <f>COUNTIF('비기능'!$J$5:$J$77,"확정")</f>
        <v/>
      </c>
      <c r="E10" s="6">
        <f>COUNTIF('비기능'!$J$5:$J$77,"팀 확인 필요")</f>
        <v/>
      </c>
      <c r="F10" s="6">
        <f>COUNTIF('비기능'!$J$5:$J$77,"선택 구현")</f>
        <v/>
      </c>
      <c r="G10" s="6">
        <f>COUNTIF('비기능'!$J$5:$J$77,"보류")</f>
        <v/>
      </c>
      <c r="H10" s="6">
        <f>COUNTIF('비기능'!$F$5:$F$77,"High")</f>
        <v/>
      </c>
      <c r="I10" s="6">
        <f>COUNTIF('비기능'!$K$5:$K$77,"신규")</f>
        <v/>
      </c>
      <c r="J10" s="6">
        <f>COUNTIF('비기능'!$K$5:$K$77,"수정")</f>
        <v/>
      </c>
      <c r="K10" s="6">
        <f>COUNTIF('비기능'!$N$5:$N$77,"MVP")</f>
        <v/>
      </c>
    </row>
    <row r="11">
      <c r="A11" s="7" t="inlineStr">
        <is>
          <t>합계</t>
        </is>
      </c>
      <c r="B11" s="8" t="n"/>
      <c r="C11" s="9">
        <f>SUM(C5:C10)</f>
        <v/>
      </c>
      <c r="D11" s="9">
        <f>SUM(D5:D10)</f>
        <v/>
      </c>
      <c r="E11" s="9">
        <f>SUM(E5:E10)</f>
        <v/>
      </c>
      <c r="F11" s="9">
        <f>SUM(F5:F10)</f>
        <v/>
      </c>
      <c r="G11" s="9">
        <f>SUM(G5:G10)</f>
        <v/>
      </c>
      <c r="H11" s="9">
        <f>SUM(H5:H10)</f>
        <v/>
      </c>
      <c r="I11" s="9">
        <f>SUM(I5:I10)</f>
        <v/>
      </c>
      <c r="J11" s="9">
        <f>SUM(J5:J10)</f>
        <v/>
      </c>
      <c r="K11" s="9">
        <f>SUM(K5:K10)</f>
        <v/>
      </c>
    </row>
    <row r="13">
      <c r="A13" s="10" t="inlineStr">
        <is>
          <t>참고 문서</t>
        </is>
      </c>
    </row>
    <row r="14">
      <c r="A14" s="11" t="inlineStr">
        <is>
          <t>와이어프레임</t>
        </is>
      </c>
      <c r="B14" s="11" t="inlineStr">
        <is>
          <t>https://www.figma.com/design/iq3FaNYUqVxysGb1FatARS (화면 ID · 기능설명서 · 화면 이동)</t>
        </is>
      </c>
    </row>
    <row r="15">
      <c r="A15" s="11" t="inlineStr">
        <is>
          <t>API 명세서</t>
        </is>
      </c>
      <c r="B15" s="11" t="inlineStr">
        <is>
          <t>API 명세서_6기_5팀_v1.2.md</t>
        </is>
      </c>
    </row>
    <row r="16">
      <c r="A16" s="11" t="inlineStr">
        <is>
          <t>ERD</t>
        </is>
      </c>
      <c r="B16" s="11" t="inlineStr">
        <is>
          <t>ERD_6기_5팀_v1.2.xlsx · ERD_6기_5팀_v1.2.dbml</t>
        </is>
      </c>
    </row>
    <row r="17">
      <c r="A17" s="11" t="inlineStr">
        <is>
          <t>화면 번호 통합표</t>
        </is>
      </c>
      <c r="B17" s="11" t="inlineStr">
        <is>
          <t>screen_id_table.md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v1.4 · 공통</t>
        </is>
      </c>
    </row>
    <row r="2">
      <c r="A2" s="2" t="inlineStr">
        <is>
          <t>형준 · 회원 · 지난 기록 · 홈 · 공통 오류 · 관련 화면 CM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 (제안)</t>
        </is>
      </c>
    </row>
    <row r="5">
      <c r="A5" s="12" t="inlineStr">
        <is>
          <t>REQ-001</t>
        </is>
      </c>
      <c r="B5" s="13" t="inlineStr">
        <is>
          <t>기능</t>
        </is>
      </c>
      <c r="C5" s="14" t="inlineStr">
        <is>
          <t>회원</t>
        </is>
      </c>
      <c r="D5" s="14" t="inlineStr">
        <is>
          <t>회원가입</t>
        </is>
      </c>
      <c r="E5" s="14" t="inlineStr">
        <is>
          <t>사용자는 이메일과 비밀번호로 회원가입할 수 있어야 한다. 출생연도와 성별은 필수, 이름(별명)은 선택으로 입력한다.</t>
        </is>
      </c>
      <c r="F5" s="13" t="inlineStr">
        <is>
          <t>Medium</t>
        </is>
      </c>
      <c r="G5" s="14" t="inlineStr">
        <is>
          <t>CM-02 · CM-02-E1</t>
        </is>
      </c>
      <c r="H5" s="14" t="inlineStr">
        <is>
          <t>A-1</t>
        </is>
      </c>
      <c r="I5" s="13" t="inlineStr">
        <is>
          <t>형준</t>
        </is>
      </c>
      <c r="J5" s="15" t="inlineStr">
        <is>
          <t>확정</t>
        </is>
      </c>
      <c r="K5" s="13" t="inlineStr">
        <is>
          <t>수정</t>
        </is>
      </c>
      <c r="L5" s="13" t="inlineStr">
        <is>
          <t>v1.2</t>
        </is>
      </c>
      <c r="M5" s="14" t="inlineStr">
        <is>
          <t>출생연도·성별은 노인주의/연령금기 판정에 필요 · 우선순위 조정: 최소 구현 — 가입은 있어야 하지만 피처가 아님</t>
        </is>
      </c>
      <c r="N5" s="44" t="inlineStr">
        <is>
          <t>MVP</t>
        </is>
      </c>
    </row>
    <row r="6">
      <c r="A6" s="12" t="inlineStr">
        <is>
          <t>REQ-002</t>
        </is>
      </c>
      <c r="B6" s="13" t="inlineStr">
        <is>
          <t>기능</t>
        </is>
      </c>
      <c r="C6" s="14" t="inlineStr">
        <is>
          <t>회원</t>
        </is>
      </c>
      <c r="D6" s="14" t="inlineStr">
        <is>
          <t>로그인</t>
        </is>
      </c>
      <c r="E6" s="14" t="inlineStr">
        <is>
          <t>사용자는 가입한 계정으로 로그인할 수 있어야 한다. 틀릴 때마다 남은 횟수를 안내하고, 5회 실패 시 10분간 잠그며 남은 시간을 표시한다.</t>
        </is>
      </c>
      <c r="F6" s="13" t="inlineStr">
        <is>
          <t>Medium</t>
        </is>
      </c>
      <c r="G6" s="14" t="inlineStr">
        <is>
          <t>CM-01 · CM-01-E1 · CM-01-E2</t>
        </is>
      </c>
      <c r="H6" s="14" t="inlineStr">
        <is>
          <t>A-2</t>
        </is>
      </c>
      <c r="I6" s="13" t="inlineStr">
        <is>
          <t>형준</t>
        </is>
      </c>
      <c r="J6" s="15" t="inlineStr">
        <is>
          <t>확정</t>
        </is>
      </c>
      <c r="K6" s="13" t="inlineStr">
        <is>
          <t>수정</t>
        </is>
      </c>
      <c r="L6" s="13" t="inlineStr">
        <is>
          <t>v1.2</t>
        </is>
      </c>
      <c r="M6" s="14" t="inlineStr">
        <is>
          <t>예외: 비밀번호 5회 오류 · 우선순위 조정: 최소 구현 — 로그인만 우선, 5회 잠금은 여유 있을 때</t>
        </is>
      </c>
      <c r="N6" s="44" t="inlineStr">
        <is>
          <t>MVP</t>
        </is>
      </c>
    </row>
    <row r="7">
      <c r="A7" s="16" t="inlineStr">
        <is>
          <t>REQ-003</t>
        </is>
      </c>
      <c r="B7" s="17" t="inlineStr">
        <is>
          <t>기능</t>
        </is>
      </c>
      <c r="C7" s="18" t="inlineStr">
        <is>
          <t>회원</t>
        </is>
      </c>
      <c r="D7" s="18" t="inlineStr">
        <is>
          <t>로그아웃</t>
        </is>
      </c>
      <c r="E7" s="18" t="inlineStr">
        <is>
          <t>사용자는 로그아웃할 수 있어야 하며 발급된 토큰은 즉시 무효화된다.</t>
        </is>
      </c>
      <c r="F7" s="17" t="inlineStr">
        <is>
          <t>Low</t>
        </is>
      </c>
      <c r="G7" s="18" t="inlineStr">
        <is>
          <t>CM-05</t>
        </is>
      </c>
      <c r="H7" s="18" t="inlineStr">
        <is>
          <t>A-3</t>
        </is>
      </c>
      <c r="I7" s="17" t="inlineStr">
        <is>
          <t>형준</t>
        </is>
      </c>
      <c r="J7" s="19" t="inlineStr">
        <is>
          <t>확정</t>
        </is>
      </c>
      <c r="K7" s="17" t="inlineStr">
        <is>
          <t>수정</t>
        </is>
      </c>
      <c r="L7" s="17" t="inlineStr">
        <is>
          <t>v1.2</t>
        </is>
      </c>
      <c r="M7" s="18" t="inlineStr">
        <is>
          <t>우선순위 조정: 일반 구현</t>
        </is>
      </c>
      <c r="N7" s="45" t="inlineStr">
        <is>
          <t>MVP</t>
        </is>
      </c>
    </row>
    <row r="8">
      <c r="A8" s="12" t="inlineStr">
        <is>
          <t>REQ-004</t>
        </is>
      </c>
      <c r="B8" s="13" t="inlineStr">
        <is>
          <t>기능</t>
        </is>
      </c>
      <c r="C8" s="14" t="inlineStr">
        <is>
          <t>회원</t>
        </is>
      </c>
      <c r="D8" s="14" t="inlineStr">
        <is>
          <t>회원 탈퇴</t>
        </is>
      </c>
      <c r="E8" s="14" t="inlineStr">
        <is>
          <t>사용자는 탈퇴 전 지워지는 정보 목록을 확인하고 동의해야 하며, 탈퇴 시 진료 정보 · 분석 결과 · 안내문 · 피드백 · 챗봇 대화 · 실천 목표 · 실천 기록 · 포인트 · 동의 기록이 즉시 삭제된다.</t>
        </is>
      </c>
      <c r="F8" s="13" t="inlineStr">
        <is>
          <t>Low</t>
        </is>
      </c>
      <c r="G8" s="14" t="inlineStr">
        <is>
          <t>CM-07</t>
        </is>
      </c>
      <c r="H8" s="14" t="inlineStr">
        <is>
          <t>U-3</t>
        </is>
      </c>
      <c r="I8" s="13" t="inlineStr">
        <is>
          <t>형준</t>
        </is>
      </c>
      <c r="J8" s="15" t="inlineStr">
        <is>
          <t>팀 확인 필요</t>
        </is>
      </c>
      <c r="K8" s="13" t="inlineStr">
        <is>
          <t>수정</t>
        </is>
      </c>
      <c r="L8" s="13" t="inlineStr">
        <is>
          <t>v1.3</t>
        </is>
      </c>
      <c r="M8" s="14" t="inlineStr">
        <is>
          <t>민감정보 파기 의무 · 우선순위 조정: 개인정보 · 일반 구현</t>
        </is>
      </c>
      <c r="N8" s="44" t="inlineStr">
        <is>
          <t>MVP</t>
        </is>
      </c>
    </row>
    <row r="9">
      <c r="A9" s="16" t="inlineStr">
        <is>
          <t>REQ-005</t>
        </is>
      </c>
      <c r="B9" s="17" t="inlineStr">
        <is>
          <t>기능</t>
        </is>
      </c>
      <c r="C9" s="18" t="inlineStr">
        <is>
          <t>회원</t>
        </is>
      </c>
      <c r="D9" s="18" t="inlineStr">
        <is>
          <t>개인정보 처리방침 동의</t>
        </is>
      </c>
      <c r="E9" s="18" t="inlineStr">
        <is>
          <t>사용자는 회원가입 시 민감정보(진료기록) 수집·이용에 대해 별도 동의해야 한다.</t>
        </is>
      </c>
      <c r="F9" s="17" t="inlineStr">
        <is>
          <t>Low</t>
        </is>
      </c>
      <c r="G9" s="18" t="inlineStr">
        <is>
          <t>CM-02 · CM-02-E1</t>
        </is>
      </c>
      <c r="H9" s="18" t="inlineStr">
        <is>
          <t>A-1 · U-4</t>
        </is>
      </c>
      <c r="I9" s="17" t="inlineStr">
        <is>
          <t>형준</t>
        </is>
      </c>
      <c r="J9" s="19" t="inlineStr">
        <is>
          <t>확정</t>
        </is>
      </c>
      <c r="K9" s="17" t="inlineStr">
        <is>
          <t>수정</t>
        </is>
      </c>
      <c r="L9" s="17" t="inlineStr">
        <is>
          <t>v1.2</t>
        </is>
      </c>
      <c r="M9" s="18" t="inlineStr">
        <is>
          <t>동의 없이 업로드 불가 · 우선순위 조정: 개인정보 — 동의 체크만 최소 구현</t>
        </is>
      </c>
      <c r="N9" s="45" t="inlineStr">
        <is>
          <t>MVP</t>
        </is>
      </c>
    </row>
    <row r="10">
      <c r="A10" s="20" t="inlineStr">
        <is>
          <t>REQ-006</t>
        </is>
      </c>
      <c r="B10" s="21" t="inlineStr">
        <is>
          <t>기능</t>
        </is>
      </c>
      <c r="C10" s="22" t="inlineStr">
        <is>
          <t>회원</t>
        </is>
      </c>
      <c r="D10" s="22" t="inlineStr">
        <is>
          <t>내 정보 조회 · 수정</t>
        </is>
      </c>
      <c r="E10" s="22" t="inlineStr">
        <is>
          <t>사용자는 이름(별명) · 출생연도 · 성별을 확인하고 수정할 수 있어야 한다. 이메일은 수정할 수 없고, 출생연도 · 성별 변경은 다음 분석부터 반영된다.</t>
        </is>
      </c>
      <c r="F10" s="21" t="inlineStr">
        <is>
          <t>Low</t>
        </is>
      </c>
      <c r="G10" s="22" t="inlineStr">
        <is>
          <t>CM-05 · CM-06</t>
        </is>
      </c>
      <c r="H10" s="22" t="inlineStr">
        <is>
          <t>U-1 · U-2</t>
        </is>
      </c>
      <c r="I10" s="21" t="inlineStr">
        <is>
          <t>형준</t>
        </is>
      </c>
      <c r="J10" s="23" t="inlineStr">
        <is>
          <t>확정</t>
        </is>
      </c>
      <c r="K10" s="21" t="inlineStr">
        <is>
          <t>신규</t>
        </is>
      </c>
      <c r="L10" s="21" t="inlineStr">
        <is>
          <t>v1.2</t>
        </is>
      </c>
      <c r="M10" s="22" t="inlineStr">
        <is>
          <t>와이어프레임에서 추가 · 우선순위 조정: 일반 구현</t>
        </is>
      </c>
      <c r="N10" s="46" t="inlineStr">
        <is>
          <t>MVP</t>
        </is>
      </c>
    </row>
    <row r="11">
      <c r="A11" s="20" t="inlineStr">
        <is>
          <t>REQ-007</t>
        </is>
      </c>
      <c r="B11" s="21" t="inlineStr">
        <is>
          <t>기능</t>
        </is>
      </c>
      <c r="C11" s="22" t="inlineStr">
        <is>
          <t>회원</t>
        </is>
      </c>
      <c r="D11" s="22" t="inlineStr">
        <is>
          <t>동의 내역 조회 · 철회</t>
        </is>
      </c>
      <c r="E11" s="22" t="inlineStr">
        <is>
          <t>사용자는 동의한 약관과 동의 일시를 확인하고 민감정보 수집 동의를 철회할 수 있어야 한다. 철회하면 업로드 · 분석을 이용할 수 없고, 처방전 · 분석 · 안내문 · 피드백 · 챗봇 대화는 삭제된다. 실천 목표는 종료하되 기록 · 포인트는 남긴다(질환 라벨은 지움).</t>
        </is>
      </c>
      <c r="F11" s="21" t="inlineStr">
        <is>
          <t>Low</t>
        </is>
      </c>
      <c r="G11" s="22" t="inlineStr">
        <is>
          <t>CM-05</t>
        </is>
      </c>
      <c r="H11" s="22" t="inlineStr">
        <is>
          <t>U-4 · U-5</t>
        </is>
      </c>
      <c r="I11" s="21" t="inlineStr">
        <is>
          <t>형준</t>
        </is>
      </c>
      <c r="J11" s="24" t="inlineStr">
        <is>
          <t>팀 확인 필요</t>
        </is>
      </c>
      <c r="K11" s="21" t="inlineStr">
        <is>
          <t>신규</t>
        </is>
      </c>
      <c r="L11" s="21" t="inlineStr">
        <is>
          <t>v1.3</t>
        </is>
      </c>
      <c r="M11" s="22" t="inlineStr">
        <is>
          <t>파기 범위 제안 v1.3 — 다음 팀 회의 확인 · 우선순위 조정: 개인정보</t>
        </is>
      </c>
      <c r="N11" s="46" t="inlineStr">
        <is>
          <t>MVP</t>
        </is>
      </c>
    </row>
    <row r="12">
      <c r="A12" s="20" t="inlineStr">
        <is>
          <t>REQ-008</t>
        </is>
      </c>
      <c r="B12" s="21" t="inlineStr">
        <is>
          <t>기능</t>
        </is>
      </c>
      <c r="C12" s="22" t="inlineStr">
        <is>
          <t>회원</t>
        </is>
      </c>
      <c r="D12" s="22" t="inlineStr">
        <is>
          <t>로그인 만료 처리</t>
        </is>
      </c>
      <c r="E12" s="22" t="inlineStr">
        <is>
          <t>시스템은 로그인이 만료되면 사유를 안내하고 로그인 화면으로 이동시켜야 한다.</t>
        </is>
      </c>
      <c r="F12" s="21" t="inlineStr">
        <is>
          <t>Low</t>
        </is>
      </c>
      <c r="G12" s="22" t="inlineStr">
        <is>
          <t>CM-08 · CM-01</t>
        </is>
      </c>
      <c r="H12" s="22" t="inlineStr">
        <is>
          <t>전체 (401 TOKEN_EXPIRED)</t>
        </is>
      </c>
      <c r="I12" s="21" t="inlineStr">
        <is>
          <t>형준</t>
        </is>
      </c>
      <c r="J12" s="24" t="inlineStr">
        <is>
          <t>팀 확인 필요</t>
        </is>
      </c>
      <c r="K12" s="21" t="inlineStr">
        <is>
          <t>신규</t>
        </is>
      </c>
      <c r="L12" s="21" t="inlineStr">
        <is>
          <t>v1.2</t>
        </is>
      </c>
      <c r="M12" s="22" t="inlineStr">
        <is>
          <t>토큰 만료 시간 · 재발급 도입 여부 미정 · 우선순위 조정: 보안 · 일반 구현</t>
        </is>
      </c>
      <c r="N12" s="46" t="inlineStr">
        <is>
          <t>MVP</t>
        </is>
      </c>
    </row>
    <row r="13">
      <c r="A13" s="16" t="inlineStr">
        <is>
          <t>REQ-080</t>
        </is>
      </c>
      <c r="B13" s="17" t="inlineStr">
        <is>
          <t>기능</t>
        </is>
      </c>
      <c r="C13" s="18" t="inlineStr">
        <is>
          <t>이력</t>
        </is>
      </c>
      <c r="D13" s="18" t="inlineStr">
        <is>
          <t>분석 이력 조회</t>
        </is>
      </c>
      <c r="E13" s="18" t="inlineStr">
        <is>
          <t>사용자는 과거에 분석한 처방전과 안내문 목록을 조회할 수 있어야 한다.</t>
        </is>
      </c>
      <c r="F13" s="17" t="inlineStr">
        <is>
          <t>Medium</t>
        </is>
      </c>
      <c r="G13" s="18" t="inlineStr">
        <is>
          <t>CM-04 · CM-04-E2 · CM-03</t>
        </is>
      </c>
      <c r="H13" s="18" t="inlineStr">
        <is>
          <t>R-7</t>
        </is>
      </c>
      <c r="I13" s="17" t="inlineStr">
        <is>
          <t>형준</t>
        </is>
      </c>
      <c r="J13" s="19" t="inlineStr">
        <is>
          <t>확정</t>
        </is>
      </c>
      <c r="K13" s="17" t="inlineStr">
        <is>
          <t>기존</t>
        </is>
      </c>
      <c r="L13" s="17" t="inlineStr">
        <is>
          <t>v0.1</t>
        </is>
      </c>
      <c r="M13" s="18" t="inlineStr"/>
      <c r="N13" s="45" t="inlineStr">
        <is>
          <t>MVP</t>
        </is>
      </c>
    </row>
    <row r="14">
      <c r="A14" s="12" t="inlineStr">
        <is>
          <t>REQ-081</t>
        </is>
      </c>
      <c r="B14" s="13" t="inlineStr">
        <is>
          <t>기능</t>
        </is>
      </c>
      <c r="C14" s="14" t="inlineStr">
        <is>
          <t>이력</t>
        </is>
      </c>
      <c r="D14" s="14" t="inlineStr">
        <is>
          <t>이력 삭제</t>
        </is>
      </c>
      <c r="E14" s="14" t="inlineStr">
        <is>
          <t>사용자는 개별 분석 기록을 삭제할 수 있어야 하며, 삭제 전 확인 창을 거친다. 지운 기록은 되돌릴 수 없다. 이 분석에만 쓰인 처방전도 함께 지우고, 이미 만든 실천 목표 · 기록 · 포인트는 남긴다.</t>
        </is>
      </c>
      <c r="F14" s="13" t="inlineStr">
        <is>
          <t>Low</t>
        </is>
      </c>
      <c r="G14" s="14" t="inlineStr">
        <is>
          <t>CM-04-E1</t>
        </is>
      </c>
      <c r="H14" s="14" t="inlineStr">
        <is>
          <t>R-8</t>
        </is>
      </c>
      <c r="I14" s="13" t="inlineStr">
        <is>
          <t>형준</t>
        </is>
      </c>
      <c r="J14" s="25" t="inlineStr">
        <is>
          <t>팀 확인 필요</t>
        </is>
      </c>
      <c r="K14" s="13" t="inlineStr">
        <is>
          <t>수정</t>
        </is>
      </c>
      <c r="L14" s="13" t="inlineStr">
        <is>
          <t>v1.3</t>
        </is>
      </c>
      <c r="M14" s="14" t="inlineStr">
        <is>
          <t>실천 목표 · 포인트는 남기고 추천 연결만 끊는 안 → 성규 확인 · 우선순위 조정: 일반 구현</t>
        </is>
      </c>
      <c r="N14" s="44" t="inlineStr">
        <is>
          <t>MVP</t>
        </is>
      </c>
    </row>
    <row r="15">
      <c r="A15" s="20" t="inlineStr">
        <is>
          <t>REQ-082</t>
        </is>
      </c>
      <c r="B15" s="21" t="inlineStr">
        <is>
          <t>기능</t>
        </is>
      </c>
      <c r="C15" s="22" t="inlineStr">
        <is>
          <t>이력</t>
        </is>
      </c>
      <c r="D15" s="22" t="inlineStr">
        <is>
          <t>실패한 분석 다시 하기</t>
        </is>
      </c>
      <c r="E15" s="22" t="inlineStr">
        <is>
          <t>사용자는 분석에 실패한 기록에서 다시 분석을 시작할 수 있어야 한다. 원본 사진을 저장하지 않으므로 다시 촬영한다.</t>
        </is>
      </c>
      <c r="F15" s="21" t="inlineStr">
        <is>
          <t>Low</t>
        </is>
      </c>
      <c r="G15" s="22" t="inlineStr">
        <is>
          <t>CM-04</t>
        </is>
      </c>
      <c r="H15" s="22" t="inlineStr">
        <is>
          <t>O-1</t>
        </is>
      </c>
      <c r="I15" s="21" t="inlineStr">
        <is>
          <t>형준</t>
        </is>
      </c>
      <c r="J15" s="23" t="inlineStr">
        <is>
          <t>확정</t>
        </is>
      </c>
      <c r="K15" s="21" t="inlineStr">
        <is>
          <t>신규</t>
        </is>
      </c>
      <c r="L15" s="21" t="inlineStr">
        <is>
          <t>v1.2</t>
        </is>
      </c>
      <c r="M15" s="22" t="inlineStr">
        <is>
          <t>NFR-011 연계 · 우선순위 조정: 일반 구현</t>
        </is>
      </c>
      <c r="N15" s="46" t="inlineStr">
        <is>
          <t>MVP</t>
        </is>
      </c>
    </row>
    <row r="16">
      <c r="A16" s="20" t="inlineStr">
        <is>
          <t>REQ-120</t>
        </is>
      </c>
      <c r="B16" s="21" t="inlineStr">
        <is>
          <t>기능</t>
        </is>
      </c>
      <c r="C16" s="22" t="inlineStr">
        <is>
          <t>공통화면</t>
        </is>
      </c>
      <c r="D16" s="22" t="inlineStr">
        <is>
          <t>홈 요약</t>
        </is>
      </c>
      <c r="E16" s="22" t="inlineStr">
        <is>
          <t>시스템은 홈에서 오늘의 실천 진행률, 최근 분석 결과 요약, 챗봇 진입, 새 분석 버튼을 한 화면에 보여줘야 한다. 기록이 없으면 이용 순서를 안내한다.</t>
        </is>
      </c>
      <c r="F16" s="21" t="inlineStr">
        <is>
          <t>High</t>
        </is>
      </c>
      <c r="G16" s="22" t="inlineStr">
        <is>
          <t>CM-03 · CM-03-E1</t>
        </is>
      </c>
      <c r="H16" s="22" t="inlineStr">
        <is>
          <t>U-1 · R-7 · GET /habit-goals/today</t>
        </is>
      </c>
      <c r="I16" s="21" t="inlineStr">
        <is>
          <t>형준</t>
        </is>
      </c>
      <c r="J16" s="23" t="inlineStr">
        <is>
          <t>확정</t>
        </is>
      </c>
      <c r="K16" s="21" t="inlineStr">
        <is>
          <t>신규</t>
        </is>
      </c>
      <c r="L16" s="21" t="inlineStr">
        <is>
          <t>v1.0</t>
        </is>
      </c>
      <c r="M16" s="22" t="inlineStr">
        <is>
          <t>4개 피처 진입점</t>
        </is>
      </c>
      <c r="N16" s="46" t="inlineStr">
        <is>
          <t>MVP</t>
        </is>
      </c>
    </row>
    <row r="17">
      <c r="A17" s="20" t="inlineStr">
        <is>
          <t>REQ-121</t>
        </is>
      </c>
      <c r="B17" s="21" t="inlineStr">
        <is>
          <t>기능</t>
        </is>
      </c>
      <c r="C17" s="22" t="inlineStr">
        <is>
          <t>공통화면</t>
        </is>
      </c>
      <c r="D17" s="22" t="inlineStr">
        <is>
          <t>공통 오류 화면</t>
        </is>
      </c>
      <c r="E17" s="22" t="inlineStr">
        <is>
          <t>시스템은 네트워크 · 서버 오류 · 로그인 만료 시 공통 오류 화면에서 사유를 글자로 안내하고 다시 시도 · 홈 이동을 제공해야 한다.</t>
        </is>
      </c>
      <c r="F17" s="21" t="inlineStr">
        <is>
          <t>Medium</t>
        </is>
      </c>
      <c r="G17" s="22" t="inlineStr">
        <is>
          <t>CM-08</t>
        </is>
      </c>
      <c r="H17" s="22" t="inlineStr">
        <is>
          <t>전체 (공통 에러 형식)</t>
        </is>
      </c>
      <c r="I17" s="21" t="inlineStr">
        <is>
          <t>형준</t>
        </is>
      </c>
      <c r="J17" s="23" t="inlineStr">
        <is>
          <t>확정</t>
        </is>
      </c>
      <c r="K17" s="21" t="inlineStr">
        <is>
          <t>신규</t>
        </is>
      </c>
      <c r="L17" s="21" t="inlineStr">
        <is>
          <t>v1.2</t>
        </is>
      </c>
      <c r="M17" s="22" t="inlineStr">
        <is>
          <t>피처별 실패는 각 예외 화면에서 처리 · 우선순위 조정: 공통 예외 처리</t>
        </is>
      </c>
      <c r="N17" s="46" t="inlineStr">
        <is>
          <t>MVP</t>
        </is>
      </c>
    </row>
  </sheetData>
  <autoFilter ref="A4:N17"/>
  <dataValidations count="5">
    <dataValidation sqref="F5:F67" showDropDown="0" showInputMessage="0" showErrorMessage="0" allowBlank="1" type="list">
      <formula1>"High,Medium,Low"</formula1>
    </dataValidation>
    <dataValidation sqref="J5:J67" showDropDown="0" showInputMessage="0" showErrorMessage="0" allowBlank="1" type="list">
      <formula1>"확정,팀 확인 필요,선택 구현,보류"</formula1>
    </dataValidation>
    <dataValidation sqref="K5:K67" showDropDown="0" showInputMessage="0" showErrorMessage="0" allowBlank="1" type="list">
      <formula1>"기존,수정,신규"</formula1>
    </dataValidation>
    <dataValidation sqref="I5:I67" showDropDown="0" showInputMessage="0" showErrorMessage="0" allowBlank="1" type="list">
      <formula1>"형준,채연,수인,성규,공통"</formula1>
    </dataValidation>
    <dataValidation sqref="N5:N67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v1.4 · OCR</t>
        </is>
      </c>
    </row>
    <row r="2">
      <c r="A2" s="2" t="inlineStr">
        <is>
          <t>채연 · 촬영 · 업로드 · 인식 · 약품 매칭 · 관련 화면 OC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 (제안)</t>
        </is>
      </c>
    </row>
    <row r="5">
      <c r="A5" s="16" t="inlineStr">
        <is>
          <t>REQ-010</t>
        </is>
      </c>
      <c r="B5" s="17" t="inlineStr">
        <is>
          <t>기능</t>
        </is>
      </c>
      <c r="C5" s="18" t="inlineStr">
        <is>
          <t>업로드</t>
        </is>
      </c>
      <c r="D5" s="18" t="inlineStr">
        <is>
          <t>처방전 이미지 업로드</t>
        </is>
      </c>
      <c r="E5" s="18" t="inlineStr">
        <is>
          <t>사용자는 처방전을 이미지(JPG/PNG) 또는 PDF로 업로드할 수 있어야 한다. 파일 1건당 최대 10MB.</t>
        </is>
      </c>
      <c r="F5" s="17" t="inlineStr">
        <is>
          <t>High</t>
        </is>
      </c>
      <c r="G5" s="18" t="inlineStr">
        <is>
          <t>OC-01</t>
        </is>
      </c>
      <c r="H5" s="18" t="inlineStr">
        <is>
          <t>O-1 · O-5</t>
        </is>
      </c>
      <c r="I5" s="17" t="inlineStr">
        <is>
          <t>채연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v1.3</t>
        </is>
      </c>
      <c r="M5" s="18" t="inlineStr">
        <is>
          <t>참여기업 필수 요구사항</t>
        </is>
      </c>
      <c r="N5" s="45" t="inlineStr">
        <is>
          <t>MVP</t>
        </is>
      </c>
    </row>
    <row r="6">
      <c r="A6" s="12" t="inlineStr">
        <is>
          <t>REQ-011</t>
        </is>
      </c>
      <c r="B6" s="13" t="inlineStr">
        <is>
          <t>기능</t>
        </is>
      </c>
      <c r="C6" s="14" t="inlineStr">
        <is>
          <t>업로드</t>
        </is>
      </c>
      <c r="D6" s="14" t="inlineStr">
        <is>
          <t>카메라 촬영 업로드</t>
        </is>
      </c>
      <c r="E6" s="14" t="inlineStr">
        <is>
          <t>사용자는 모바일에서 카메라로 직접 촬영하여 업로드할 수 있어야 한다. 카메라 권한이 없으면 설정 이동 또는 갤러리 선택으로 계속할 수 있다.</t>
        </is>
      </c>
      <c r="F6" s="13" t="inlineStr">
        <is>
          <t>High</t>
        </is>
      </c>
      <c r="G6" s="14" t="inlineStr">
        <is>
          <t>OC-01 · OC-01-E2</t>
        </is>
      </c>
      <c r="H6" s="14" t="inlineStr">
        <is>
          <t>O-1 · O-5</t>
        </is>
      </c>
      <c r="I6" s="13" t="inlineStr">
        <is>
          <t>채연</t>
        </is>
      </c>
      <c r="J6" s="15" t="inlineStr">
        <is>
          <t>확정</t>
        </is>
      </c>
      <c r="K6" s="13" t="inlineStr">
        <is>
          <t>수정</t>
        </is>
      </c>
      <c r="L6" s="13" t="inlineStr">
        <is>
          <t>v1.3</t>
        </is>
      </c>
      <c r="M6" s="14" t="inlineStr">
        <is>
          <t>타겟 사용 맥락이 모바일</t>
        </is>
      </c>
      <c r="N6" s="44" t="inlineStr">
        <is>
          <t>MVP</t>
        </is>
      </c>
    </row>
    <row r="7">
      <c r="A7" s="16" t="inlineStr">
        <is>
          <t>REQ-012</t>
        </is>
      </c>
      <c r="B7" s="17" t="inlineStr">
        <is>
          <t>기능</t>
        </is>
      </c>
      <c r="C7" s="18" t="inlineStr">
        <is>
          <t>업로드</t>
        </is>
      </c>
      <c r="D7" s="18" t="inlineStr">
        <is>
          <t>약봉투 업로드</t>
        </is>
      </c>
      <c r="E7" s="18" t="inlineStr">
        <is>
          <t>사용자는 약봉투를 촬영하여 업로드할 수 있어야 한다.</t>
        </is>
      </c>
      <c r="F7" s="17" t="inlineStr">
        <is>
          <t>High</t>
        </is>
      </c>
      <c r="G7" s="18" t="inlineStr">
        <is>
          <t>OC-01</t>
        </is>
      </c>
      <c r="H7" s="18" t="inlineStr">
        <is>
          <t>O-1 · O-5</t>
        </is>
      </c>
      <c r="I7" s="17" t="inlineStr">
        <is>
          <t>채연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v1.3</t>
        </is>
      </c>
      <c r="M7" s="18" t="inlineStr">
        <is>
          <t>약봉투에는 질병분류기호가 없어 생활습관 안내는 RG-05-E1로 이어짐</t>
        </is>
      </c>
      <c r="N7" s="45" t="inlineStr">
        <is>
          <t>MVP</t>
        </is>
      </c>
    </row>
    <row r="8">
      <c r="A8" s="12" t="inlineStr">
        <is>
          <t>REQ-013</t>
        </is>
      </c>
      <c r="B8" s="13" t="inlineStr">
        <is>
          <t>기능</t>
        </is>
      </c>
      <c r="C8" s="14" t="inlineStr">
        <is>
          <t>업로드</t>
        </is>
      </c>
      <c r="D8" s="14" t="inlineStr">
        <is>
          <t>다중 업로드</t>
        </is>
      </c>
      <c r="E8" s="14" t="inlineStr">
        <is>
          <t>사용자는 처방전 · 약봉투를 최대 5장까지 이어서 촬영 · 선택하고 한 번에 인식을 시작할 수 있어야 한다.</t>
        </is>
      </c>
      <c r="F8" s="13" t="inlineStr">
        <is>
          <t>High</t>
        </is>
      </c>
      <c r="G8" s="14" t="inlineStr">
        <is>
          <t>OC-01</t>
        </is>
      </c>
      <c r="H8" s="14" t="inlineStr">
        <is>
          <t>O-1 · O-5</t>
        </is>
      </c>
      <c r="I8" s="13" t="inlineStr">
        <is>
          <t>채연</t>
        </is>
      </c>
      <c r="J8" s="25" t="inlineStr">
        <is>
          <t>팀 확인 필요</t>
        </is>
      </c>
      <c r="K8" s="13" t="inlineStr">
        <is>
          <t>수정</t>
        </is>
      </c>
      <c r="L8" s="13" t="inlineStr">
        <is>
          <t>v1.3</t>
        </is>
      </c>
      <c r="M8" s="14" t="inlineStr">
        <is>
          <t>여러 병원 처방전 동시 점검이 핵심 시나리오. 와이어프레임을 여러 장 흐름으로 바꿈 → 채연 확인</t>
        </is>
      </c>
      <c r="N8" s="44" t="inlineStr">
        <is>
          <t>MVP</t>
        </is>
      </c>
    </row>
    <row r="9">
      <c r="A9" s="16" t="inlineStr">
        <is>
          <t>REQ-014</t>
        </is>
      </c>
      <c r="B9" s="17" t="inlineStr">
        <is>
          <t>기능</t>
        </is>
      </c>
      <c r="C9" s="18" t="inlineStr">
        <is>
          <t>업로드</t>
        </is>
      </c>
      <c r="D9" s="18" t="inlineStr">
        <is>
          <t>업로드 실패 안내</t>
        </is>
      </c>
      <c r="E9" s="18" t="inlineStr">
        <is>
          <t>시스템은 지원하지 않는 형식이거나 용량을 초과한 경우 사유를 화면에 표시해야 한다.</t>
        </is>
      </c>
      <c r="F9" s="17" t="inlineStr">
        <is>
          <t>High</t>
        </is>
      </c>
      <c r="G9" s="18" t="inlineStr">
        <is>
          <t>OC-01-E1 · OC-01-E3</t>
        </is>
      </c>
      <c r="H9" s="18" t="inlineStr">
        <is>
          <t>O-1</t>
        </is>
      </c>
      <c r="I9" s="17" t="inlineStr">
        <is>
          <t>채연</t>
        </is>
      </c>
      <c r="J9" s="19" t="inlineStr">
        <is>
          <t>확정</t>
        </is>
      </c>
      <c r="K9" s="17" t="inlineStr">
        <is>
          <t>기존</t>
        </is>
      </c>
      <c r="L9" s="17" t="inlineStr">
        <is>
          <t>v0.1</t>
        </is>
      </c>
      <c r="M9" s="18" t="inlineStr">
        <is>
          <t>예외 처리</t>
        </is>
      </c>
      <c r="N9" s="45" t="inlineStr">
        <is>
          <t>MVP</t>
        </is>
      </c>
    </row>
    <row r="10">
      <c r="A10" s="16" t="inlineStr">
        <is>
          <t>REQ-015</t>
        </is>
      </c>
      <c r="B10" s="17" t="inlineStr">
        <is>
          <t>기능</t>
        </is>
      </c>
      <c r="C10" s="18" t="inlineStr">
        <is>
          <t>업로드</t>
        </is>
      </c>
      <c r="D10" s="18" t="inlineStr">
        <is>
          <t>건강검진 결과통보서 업로드</t>
        </is>
      </c>
      <c r="E10" s="18" t="inlineStr">
        <is>
          <t>사용자는 국가건강검진 결과통보서를 업로드할 수 있어야 한다.</t>
        </is>
      </c>
      <c r="F10" s="17" t="inlineStr">
        <is>
          <t>Medium</t>
        </is>
      </c>
      <c r="G10" s="18" t="inlineStr">
        <is>
          <t>—</t>
        </is>
      </c>
      <c r="H10" s="18" t="inlineStr">
        <is>
          <t>—</t>
        </is>
      </c>
      <c r="I10" s="17" t="inlineStr">
        <is>
          <t>채연</t>
        </is>
      </c>
      <c r="J10" s="26" t="inlineStr">
        <is>
          <t>보류</t>
        </is>
      </c>
      <c r="K10" s="17" t="inlineStr">
        <is>
          <t>기존</t>
        </is>
      </c>
      <c r="L10" s="17" t="inlineStr">
        <is>
          <t>v0.1</t>
        </is>
      </c>
      <c r="M10" s="18" t="inlineStr">
        <is>
          <t>※ 멘토링 확인 필요 - 입력 범위 확정 후 결정</t>
        </is>
      </c>
      <c r="N10" s="47" t="inlineStr">
        <is>
          <t>후순위</t>
        </is>
      </c>
    </row>
    <row r="11">
      <c r="A11" s="20" t="inlineStr">
        <is>
          <t>REQ-016</t>
        </is>
      </c>
      <c r="B11" s="21" t="inlineStr">
        <is>
          <t>기능</t>
        </is>
      </c>
      <c r="C11" s="22" t="inlineStr">
        <is>
          <t>업로드</t>
        </is>
      </c>
      <c r="D11" s="22" t="inlineStr">
        <is>
          <t>촬영 품질 사전 검사</t>
        </is>
      </c>
      <c r="E11" s="22" t="inlineStr">
        <is>
          <t>시스템은 촬영 직후 초점 · 밝기 · 문서 잘림을 검사하고, 기준에 못 미치면 사유를 알리고 다시 찍도록 안내해야 한다. 사용자가 원하면 "확인 필요" 상태로 계속 진행할 수 있다.</t>
        </is>
      </c>
      <c r="F11" s="21" t="inlineStr">
        <is>
          <t>High</t>
        </is>
      </c>
      <c r="G11" s="22" t="inlineStr">
        <is>
          <t>OC-01-E1</t>
        </is>
      </c>
      <c r="H11" s="22" t="inlineStr">
        <is>
          <t>O-5 (IMAGE_QUALITY_LOW)</t>
        </is>
      </c>
      <c r="I11" s="21" t="inlineStr">
        <is>
          <t>채연</t>
        </is>
      </c>
      <c r="J11" s="23" t="inlineStr">
        <is>
          <t>확정</t>
        </is>
      </c>
      <c r="K11" s="21" t="inlineStr">
        <is>
          <t>신규</t>
        </is>
      </c>
      <c r="L11" s="21" t="inlineStr">
        <is>
          <t>v1.3</t>
        </is>
      </c>
      <c r="M11" s="22" t="inlineStr">
        <is>
          <t>와이어프레임에서 추가</t>
        </is>
      </c>
      <c r="N11" s="46" t="inlineStr">
        <is>
          <t>MVP</t>
        </is>
      </c>
    </row>
    <row r="12">
      <c r="A12" s="20" t="inlineStr">
        <is>
          <t>REQ-017</t>
        </is>
      </c>
      <c r="B12" s="21" t="inlineStr">
        <is>
          <t>기능</t>
        </is>
      </c>
      <c r="C12" s="22" t="inlineStr">
        <is>
          <t>업로드</t>
        </is>
      </c>
      <c r="D12" s="22" t="inlineStr">
        <is>
          <t>관련 없는 사진 감지</t>
        </is>
      </c>
      <c r="E12" s="22" t="inlineStr">
        <is>
          <t>시스템은 처방전 · 약봉투가 아닌 사진을 걸러내고 다시 찍도록 안내해야 한다.</t>
        </is>
      </c>
      <c r="F12" s="21" t="inlineStr">
        <is>
          <t>Medium</t>
        </is>
      </c>
      <c r="G12" s="22" t="inlineStr">
        <is>
          <t>OC-01-E3</t>
        </is>
      </c>
      <c r="H12" s="22" t="inlineStr">
        <is>
          <t>O-5 (NOT_A_DOCUMENT)</t>
        </is>
      </c>
      <c r="I12" s="21" t="inlineStr">
        <is>
          <t>채연</t>
        </is>
      </c>
      <c r="J12" s="24" t="inlineStr">
        <is>
          <t>팀 확인 필요</t>
        </is>
      </c>
      <c r="K12" s="21" t="inlineStr">
        <is>
          <t>신규</t>
        </is>
      </c>
      <c r="L12" s="21" t="inlineStr">
        <is>
          <t>v1.3</t>
        </is>
      </c>
      <c r="M12" s="22" t="inlineStr">
        <is>
          <t>잘못 걸러내는 경우를 줄이는 기준 필요</t>
        </is>
      </c>
      <c r="N12" s="46" t="inlineStr">
        <is>
          <t>MVP</t>
        </is>
      </c>
    </row>
    <row r="13">
      <c r="A13" s="16" t="inlineStr">
        <is>
          <t>REQ-020</t>
        </is>
      </c>
      <c r="B13" s="17" t="inlineStr">
        <is>
          <t>기능</t>
        </is>
      </c>
      <c r="C13" s="18" t="inlineStr">
        <is>
          <t>OCR</t>
        </is>
      </c>
      <c r="D13" s="18" t="inlineStr">
        <is>
          <t>처방전 텍스트 추출</t>
        </is>
      </c>
      <c r="E13" s="18" t="inlineStr">
        <is>
          <t>시스템은 업로드된 이미지·PDF에서 약품명 용법 용량 투약일수 질병분류기호를 자동 추출해야 한다.</t>
        </is>
      </c>
      <c r="F13" s="17" t="inlineStr">
        <is>
          <t>High</t>
        </is>
      </c>
      <c r="G13" s="18" t="inlineStr">
        <is>
          <t>OC-02</t>
        </is>
      </c>
      <c r="H13" s="18" t="inlineStr">
        <is>
          <t>O-2</t>
        </is>
      </c>
      <c r="I13" s="17" t="inlineStr">
        <is>
          <t>채연</t>
        </is>
      </c>
      <c r="J13" s="19" t="inlineStr">
        <is>
          <t>확정</t>
        </is>
      </c>
      <c r="K13" s="17" t="inlineStr">
        <is>
          <t>기존</t>
        </is>
      </c>
      <c r="L13" s="17" t="inlineStr">
        <is>
          <t>v0.1</t>
        </is>
      </c>
      <c r="M13" s="18" t="inlineStr">
        <is>
          <t>참여기업 필수 요구사항 (CLOVA OCR)</t>
        </is>
      </c>
      <c r="N13" s="45" t="inlineStr">
        <is>
          <t>MVP</t>
        </is>
      </c>
    </row>
    <row r="14">
      <c r="A14" s="16" t="inlineStr">
        <is>
          <t>REQ-021</t>
        </is>
      </c>
      <c r="B14" s="17" t="inlineStr">
        <is>
          <t>기능</t>
        </is>
      </c>
      <c r="C14" s="18" t="inlineStr">
        <is>
          <t>OCR</t>
        </is>
      </c>
      <c r="D14" s="18" t="inlineStr">
        <is>
          <t>용법용량 구조화</t>
        </is>
      </c>
      <c r="E14" s="18" t="inlineStr">
        <is>
          <t>시스템은 추출된 용법 문자열을 1회량 1일횟수 총일수 복용시점으로 구조화해야 한다.</t>
        </is>
      </c>
      <c r="F14" s="17" t="inlineStr">
        <is>
          <t>High</t>
        </is>
      </c>
      <c r="G14" s="18" t="inlineStr">
        <is>
          <t>OC-02</t>
        </is>
      </c>
      <c r="H14" s="18" t="inlineStr">
        <is>
          <t>O-2 · O-3</t>
        </is>
      </c>
      <c r="I14" s="17" t="inlineStr">
        <is>
          <t>채연</t>
        </is>
      </c>
      <c r="J14" s="19" t="inlineStr">
        <is>
          <t>확정</t>
        </is>
      </c>
      <c r="K14" s="17" t="inlineStr">
        <is>
          <t>기존</t>
        </is>
      </c>
      <c r="L14" s="17" t="inlineStr">
        <is>
          <t>v0.1</t>
        </is>
      </c>
      <c r="M14" s="18" t="inlineStr">
        <is>
          <t>1일 총량 계산에 필요</t>
        </is>
      </c>
      <c r="N14" s="45" t="inlineStr">
        <is>
          <t>MVP</t>
        </is>
      </c>
    </row>
    <row r="15">
      <c r="A15" s="16" t="inlineStr">
        <is>
          <t>REQ-022</t>
        </is>
      </c>
      <c r="B15" s="17" t="inlineStr">
        <is>
          <t>기능</t>
        </is>
      </c>
      <c r="C15" s="18" t="inlineStr">
        <is>
          <t>OCR</t>
        </is>
      </c>
      <c r="D15" s="18" t="inlineStr">
        <is>
          <t>상병코드 인식</t>
        </is>
      </c>
      <c r="E15" s="18" t="inlineStr">
        <is>
          <t>시스템은 처방전의 질병분류기호(KCD)를 인식하여 질병명으로 변환해야 한다.</t>
        </is>
      </c>
      <c r="F15" s="17" t="inlineStr">
        <is>
          <t>High</t>
        </is>
      </c>
      <c r="G15" s="18" t="inlineStr">
        <is>
          <t>OC-02</t>
        </is>
      </c>
      <c r="H15" s="18" t="inlineStr">
        <is>
          <t>O-2</t>
        </is>
      </c>
      <c r="I15" s="17" t="inlineStr">
        <is>
          <t>채연</t>
        </is>
      </c>
      <c r="J15" s="19" t="inlineStr">
        <is>
          <t>확정</t>
        </is>
      </c>
      <c r="K15" s="17" t="inlineStr">
        <is>
          <t>기존</t>
        </is>
      </c>
      <c r="L15" s="17" t="inlineStr">
        <is>
          <t>v0.1</t>
        </is>
      </c>
      <c r="M15" s="18" t="inlineStr">
        <is>
          <t>심평원 상병마스터 47798건 활용</t>
        </is>
      </c>
      <c r="N15" s="45" t="inlineStr">
        <is>
          <t>MVP</t>
        </is>
      </c>
    </row>
    <row r="16">
      <c r="A16" s="16" t="inlineStr">
        <is>
          <t>REQ-023</t>
        </is>
      </c>
      <c r="B16" s="17" t="inlineStr">
        <is>
          <t>기능</t>
        </is>
      </c>
      <c r="C16" s="18" t="inlineStr">
        <is>
          <t>OCR</t>
        </is>
      </c>
      <c r="D16" s="18" t="inlineStr">
        <is>
          <t>인식 결과 확인·수정</t>
        </is>
      </c>
      <c r="E16" s="18" t="inlineStr">
        <is>
          <t>사용자는 OCR 인식 결과를 화면에서 확인하고 직접 수정할 수 있어야 한다.</t>
        </is>
      </c>
      <c r="F16" s="17" t="inlineStr">
        <is>
          <t>High</t>
        </is>
      </c>
      <c r="G16" s="18" t="inlineStr">
        <is>
          <t>OC-02</t>
        </is>
      </c>
      <c r="H16" s="18" t="inlineStr">
        <is>
          <t>O-2 · O-3</t>
        </is>
      </c>
      <c r="I16" s="17" t="inlineStr">
        <is>
          <t>채연</t>
        </is>
      </c>
      <c r="J16" s="19" t="inlineStr">
        <is>
          <t>확정</t>
        </is>
      </c>
      <c r="K16" s="17" t="inlineStr">
        <is>
          <t>기존</t>
        </is>
      </c>
      <c r="L16" s="17" t="inlineStr">
        <is>
          <t>v0.1</t>
        </is>
      </c>
      <c r="M16" s="18" t="inlineStr">
        <is>
          <t>OCR 오인식 대응 (필수)</t>
        </is>
      </c>
      <c r="N16" s="45" t="inlineStr">
        <is>
          <t>MVP</t>
        </is>
      </c>
    </row>
    <row r="17">
      <c r="A17" s="16" t="inlineStr">
        <is>
          <t>REQ-024</t>
        </is>
      </c>
      <c r="B17" s="17" t="inlineStr">
        <is>
          <t>기능</t>
        </is>
      </c>
      <c r="C17" s="18" t="inlineStr">
        <is>
          <t>OCR</t>
        </is>
      </c>
      <c r="D17" s="18" t="inlineStr">
        <is>
          <t>인식 실패 처리</t>
        </is>
      </c>
      <c r="E17" s="18" t="inlineStr">
        <is>
          <t>시스템은 텍스트 추출에 실패한 경우 재촬영을 안내하고 수동 입력 경로를 제공해야 한다.</t>
        </is>
      </c>
      <c r="F17" s="17" t="inlineStr">
        <is>
          <t>High</t>
        </is>
      </c>
      <c r="G17" s="18" t="inlineStr">
        <is>
          <t>OC-02-E1</t>
        </is>
      </c>
      <c r="H17" s="18" t="inlineStr">
        <is>
          <t>O-4</t>
        </is>
      </c>
      <c r="I17" s="17" t="inlineStr">
        <is>
          <t>채연</t>
        </is>
      </c>
      <c r="J17" s="19" t="inlineStr">
        <is>
          <t>확정</t>
        </is>
      </c>
      <c r="K17" s="17" t="inlineStr">
        <is>
          <t>기존</t>
        </is>
      </c>
      <c r="L17" s="17" t="inlineStr">
        <is>
          <t>v0.1</t>
        </is>
      </c>
      <c r="M17" s="18" t="inlineStr">
        <is>
          <t>예외 처리</t>
        </is>
      </c>
      <c r="N17" s="45" t="inlineStr">
        <is>
          <t>MVP</t>
        </is>
      </c>
    </row>
    <row r="18">
      <c r="A18" s="20" t="inlineStr">
        <is>
          <t>REQ-025</t>
        </is>
      </c>
      <c r="B18" s="21" t="inlineStr">
        <is>
          <t>기능</t>
        </is>
      </c>
      <c r="C18" s="22" t="inlineStr">
        <is>
          <t>OCR</t>
        </is>
      </c>
      <c r="D18" s="22" t="inlineStr">
        <is>
          <t>문서 종류 판별 표시</t>
        </is>
      </c>
      <c r="E18" s="22" t="inlineStr">
        <is>
          <t>시스템은 사진이 처방전인지 약봉투인지 판별하고, 인식 결과 화면에 문서 종류와 병원 이름을 표시해야 한다.</t>
        </is>
      </c>
      <c r="F18" s="21" t="inlineStr">
        <is>
          <t>High</t>
        </is>
      </c>
      <c r="G18" s="22" t="inlineStr">
        <is>
          <t>OC-02</t>
        </is>
      </c>
      <c r="H18" s="22" t="inlineStr">
        <is>
          <t>O-2</t>
        </is>
      </c>
      <c r="I18" s="21" t="inlineStr">
        <is>
          <t>채연</t>
        </is>
      </c>
      <c r="J18" s="23" t="inlineStr">
        <is>
          <t>확정</t>
        </is>
      </c>
      <c r="K18" s="21" t="inlineStr">
        <is>
          <t>신규</t>
        </is>
      </c>
      <c r="L18" s="21" t="inlineStr">
        <is>
          <t>v1.0</t>
        </is>
      </c>
      <c r="M18" s="22" t="inlineStr">
        <is>
          <t>와이어프레임에서 추가</t>
        </is>
      </c>
      <c r="N18" s="46" t="inlineStr">
        <is>
          <t>MVP</t>
        </is>
      </c>
    </row>
    <row r="19">
      <c r="A19" s="16" t="inlineStr">
        <is>
          <t>REQ-030</t>
        </is>
      </c>
      <c r="B19" s="17" t="inlineStr">
        <is>
          <t>기능</t>
        </is>
      </c>
      <c r="C19" s="18" t="inlineStr">
        <is>
          <t>약품매칭</t>
        </is>
      </c>
      <c r="D19" s="18" t="inlineStr">
        <is>
          <t>약품 자동 매칭</t>
        </is>
      </c>
      <c r="E19" s="18" t="inlineStr">
        <is>
          <t>시스템은 추출된 약품명을 의약품 마스터(22041품목)와 대조하여 제품코드를 확정해야 한다.</t>
        </is>
      </c>
      <c r="F19" s="17" t="inlineStr">
        <is>
          <t>High</t>
        </is>
      </c>
      <c r="G19" s="18" t="inlineStr">
        <is>
          <t>OC-02</t>
        </is>
      </c>
      <c r="H19" s="18" t="inlineStr">
        <is>
          <t>O-2</t>
        </is>
      </c>
      <c r="I19" s="17" t="inlineStr">
        <is>
          <t>채연</t>
        </is>
      </c>
      <c r="J19" s="19" t="inlineStr">
        <is>
          <t>확정</t>
        </is>
      </c>
      <c r="K19" s="17" t="inlineStr">
        <is>
          <t>기존</t>
        </is>
      </c>
      <c r="L19" s="17" t="inlineStr">
        <is>
          <t>v0.1</t>
        </is>
      </c>
      <c r="M19" s="18" t="inlineStr">
        <is>
          <t>심평원 약제급여목록 기준</t>
        </is>
      </c>
      <c r="N19" s="45" t="inlineStr">
        <is>
          <t>MVP</t>
        </is>
      </c>
    </row>
    <row r="20">
      <c r="A20" s="16" t="inlineStr">
        <is>
          <t>REQ-031</t>
        </is>
      </c>
      <c r="B20" s="17" t="inlineStr">
        <is>
          <t>기능</t>
        </is>
      </c>
      <c r="C20" s="18" t="inlineStr">
        <is>
          <t>약품매칭</t>
        </is>
      </c>
      <c r="D20" s="18" t="inlineStr">
        <is>
          <t>매칭 후보 제시</t>
        </is>
      </c>
      <c r="E20" s="18" t="inlineStr">
        <is>
          <t>시스템은 매칭 신뢰도가 기준 미만인 경우 유사 후보를 최대 5개 제시하고 사용자가 선택하도록 해야 한다.</t>
        </is>
      </c>
      <c r="F20" s="17" t="inlineStr">
        <is>
          <t>High</t>
        </is>
      </c>
      <c r="G20" s="18" t="inlineStr">
        <is>
          <t>OC-02</t>
        </is>
      </c>
      <c r="H20" s="18" t="inlineStr">
        <is>
          <t>O-2 · O-3</t>
        </is>
      </c>
      <c r="I20" s="17" t="inlineStr">
        <is>
          <t>채연</t>
        </is>
      </c>
      <c r="J20" s="27" t="inlineStr">
        <is>
          <t>팀 확인 필요</t>
        </is>
      </c>
      <c r="K20" s="17" t="inlineStr">
        <is>
          <t>기존</t>
        </is>
      </c>
      <c r="L20" s="17" t="inlineStr">
        <is>
          <t>v0.1</t>
        </is>
      </c>
      <c r="M20" s="18" t="inlineStr">
        <is>
          <t>"확인됨"으로 볼 매칭 점수 기준 확정 필요 (채연)</t>
        </is>
      </c>
      <c r="N20" s="45" t="inlineStr">
        <is>
          <t>MVP</t>
        </is>
      </c>
    </row>
    <row r="21">
      <c r="A21" s="12" t="inlineStr">
        <is>
          <t>REQ-032</t>
        </is>
      </c>
      <c r="B21" s="13" t="inlineStr">
        <is>
          <t>기능</t>
        </is>
      </c>
      <c r="C21" s="14" t="inlineStr">
        <is>
          <t>약품매칭</t>
        </is>
      </c>
      <c r="D21" s="14" t="inlineStr">
        <is>
          <t>미매칭 약품 표시</t>
        </is>
      </c>
      <c r="E21" s="14" t="inlineStr">
        <is>
          <t>시스템은 끝내 매칭되지 않은 약품을 사용자가 "빼고 진행"으로 선택할 수 있게 하고, 결과 화면 맨 위에 점검에서 빠진 약으로 표시해야 한다.</t>
        </is>
      </c>
      <c r="F21" s="13" t="inlineStr">
        <is>
          <t>High</t>
        </is>
      </c>
      <c r="G21" s="14" t="inlineStr">
        <is>
          <t>OC-02 · RG-02 · RG-04</t>
        </is>
      </c>
      <c r="H21" s="14" t="inlineStr">
        <is>
          <t>O-3 · R-4</t>
        </is>
      </c>
      <c r="I21" s="13" t="inlineStr">
        <is>
          <t>채연</t>
        </is>
      </c>
      <c r="J21" s="15" t="inlineStr">
        <is>
          <t>확정</t>
        </is>
      </c>
      <c r="K21" s="13" t="inlineStr">
        <is>
          <t>수정</t>
        </is>
      </c>
      <c r="L21" s="13" t="inlineStr">
        <is>
          <t>v1.0</t>
        </is>
      </c>
      <c r="M21" s="14" t="inlineStr">
        <is>
          <t>예외 처리 - 점검 누락을 숨기지 않음</t>
        </is>
      </c>
      <c r="N21" s="44" t="inlineStr">
        <is>
          <t>MVP</t>
        </is>
      </c>
    </row>
    <row r="22">
      <c r="A22" s="20" t="inlineStr">
        <is>
          <t>REQ-033</t>
        </is>
      </c>
      <c r="B22" s="21" t="inlineStr">
        <is>
          <t>기능</t>
        </is>
      </c>
      <c r="C22" s="22" t="inlineStr">
        <is>
          <t>약품매칭</t>
        </is>
      </c>
      <c r="D22" s="22" t="inlineStr">
        <is>
          <t>확인 전 분석 시작 제한</t>
        </is>
      </c>
      <c r="E22" s="22" t="inlineStr">
        <is>
          <t>시스템은 "확인 필요" 또는 "찾지 못함" 상태의 약이 남아 있으면 분석 시작을 막고, 무엇을 해야 시작할 수 있는지 안내해야 한다.</t>
        </is>
      </c>
      <c r="F22" s="21" t="inlineStr">
        <is>
          <t>High</t>
        </is>
      </c>
      <c r="G22" s="22" t="inlineStr">
        <is>
          <t>OC-02</t>
        </is>
      </c>
      <c r="H22" s="22" t="inlineStr">
        <is>
          <t>R-1 (409)</t>
        </is>
      </c>
      <c r="I22" s="21" t="inlineStr">
        <is>
          <t>채연</t>
        </is>
      </c>
      <c r="J22" s="23" t="inlineStr">
        <is>
          <t>확정</t>
        </is>
      </c>
      <c r="K22" s="21" t="inlineStr">
        <is>
          <t>신규</t>
        </is>
      </c>
      <c r="L22" s="21" t="inlineStr">
        <is>
          <t>v1.0</t>
        </is>
      </c>
      <c r="M22" s="22" t="inlineStr">
        <is>
          <t>잘못 인식된 약으로 안내가 나가는 것을 막음</t>
        </is>
      </c>
      <c r="N22" s="46" t="inlineStr">
        <is>
          <t>MVP</t>
        </is>
      </c>
    </row>
    <row r="23">
      <c r="A23" s="20" t="inlineStr">
        <is>
          <t>REQ-034</t>
        </is>
      </c>
      <c r="B23" s="21" t="inlineStr">
        <is>
          <t>기능</t>
        </is>
      </c>
      <c r="C23" s="22" t="inlineStr">
        <is>
          <t>약품매칭</t>
        </is>
      </c>
      <c r="D23" s="22" t="inlineStr">
        <is>
          <t>약 이름 검색 · 자동완성</t>
        </is>
      </c>
      <c r="E23" s="22" t="inlineStr">
        <is>
          <t>사용자는 인식되지 않은 약을 이름으로 검색해 직접 추가할 수 있어야 하며, 입력 중 비슷한 약 이름을 추천받는다.</t>
        </is>
      </c>
      <c r="F23" s="21" t="inlineStr">
        <is>
          <t>High</t>
        </is>
      </c>
      <c r="G23" s="22" t="inlineStr">
        <is>
          <t>OC-02 · OC-02-E1</t>
        </is>
      </c>
      <c r="H23" s="22" t="inlineStr">
        <is>
          <t>O-4</t>
        </is>
      </c>
      <c r="I23" s="21" t="inlineStr">
        <is>
          <t>채연</t>
        </is>
      </c>
      <c r="J23" s="23" t="inlineStr">
        <is>
          <t>확정</t>
        </is>
      </c>
      <c r="K23" s="21" t="inlineStr">
        <is>
          <t>신규</t>
        </is>
      </c>
      <c r="L23" s="21" t="inlineStr">
        <is>
          <t>v1.0</t>
        </is>
      </c>
      <c r="M23" s="22" t="inlineStr">
        <is>
          <t>와이어프레임에서 추가</t>
        </is>
      </c>
      <c r="N23" s="46" t="inlineStr">
        <is>
          <t>MVP</t>
        </is>
      </c>
    </row>
  </sheetData>
  <autoFilter ref="A4:N23"/>
  <dataValidations count="5">
    <dataValidation sqref="F5:F73" showDropDown="0" showInputMessage="0" showErrorMessage="0" allowBlank="1" type="list">
      <formula1>"High,Medium,Low"</formula1>
    </dataValidation>
    <dataValidation sqref="J5:J73" showDropDown="0" showInputMessage="0" showErrorMessage="0" allowBlank="1" type="list">
      <formula1>"확정,팀 확인 필요,선택 구현,보류"</formula1>
    </dataValidation>
    <dataValidation sqref="K5:K73" showDropDown="0" showInputMessage="0" showErrorMessage="0" allowBlank="1" type="list">
      <formula1>"기존,수정,신규"</formula1>
    </dataValidation>
    <dataValidation sqref="I5:I73" showDropDown="0" showInputMessage="0" showErrorMessage="0" allowBlank="1" type="list">
      <formula1>"형준,채연,수인,성규,공통"</formula1>
    </dataValidation>
    <dataValidation sqref="N5:N73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v1.4 · RAG</t>
        </is>
      </c>
    </row>
    <row r="2">
      <c r="A2" s="2" t="inlineStr">
        <is>
          <t>형준 · 안전성 점검 · 복약 안내 · 생활습관 · 피드백 · 관련 화면 RG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 (제안)</t>
        </is>
      </c>
    </row>
    <row r="5">
      <c r="A5" s="16" t="inlineStr">
        <is>
          <t>REQ-040</t>
        </is>
      </c>
      <c r="B5" s="17" t="inlineStr">
        <is>
          <t>기능</t>
        </is>
      </c>
      <c r="C5" s="18" t="inlineStr">
        <is>
          <t>안전성점검</t>
        </is>
      </c>
      <c r="D5" s="18" t="inlineStr">
        <is>
          <t>병용금기 점검</t>
        </is>
      </c>
      <c r="E5" s="18" t="inlineStr">
        <is>
          <t>시스템은 복용 약품 조합에 대해 식약처 고시 병용금기 해당 여부를 점검해야 한다.</t>
        </is>
      </c>
      <c r="F5" s="17" t="inlineStr">
        <is>
          <t>High</t>
        </is>
      </c>
      <c r="G5" s="18" t="inlineStr">
        <is>
          <t>RG-02</t>
        </is>
      </c>
      <c r="H5" s="18" t="inlineStr">
        <is>
          <t>R-4</t>
        </is>
      </c>
      <c r="I5" s="17" t="inlineStr">
        <is>
          <t>형준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v0.1</t>
        </is>
      </c>
      <c r="M5" s="18" t="inlineStr">
        <is>
          <t>DUR 성분쌍 97326건. DB 조회로 결정적 판정</t>
        </is>
      </c>
      <c r="N5" s="45" t="inlineStr">
        <is>
          <t>MVP</t>
        </is>
      </c>
    </row>
    <row r="6">
      <c r="A6" s="16" t="inlineStr">
        <is>
          <t>REQ-041</t>
        </is>
      </c>
      <c r="B6" s="17" t="inlineStr">
        <is>
          <t>기능</t>
        </is>
      </c>
      <c r="C6" s="18" t="inlineStr">
        <is>
          <t>안전성점검</t>
        </is>
      </c>
      <c r="D6" s="18" t="inlineStr">
        <is>
          <t>병용금기 예외 반영</t>
        </is>
      </c>
      <c r="E6" s="18" t="inlineStr">
        <is>
          <t>시스템은 병용금기 예외 규칙에 해당하는 제품은 경고에서 제외해야 한다.</t>
        </is>
      </c>
      <c r="F6" s="17" t="inlineStr">
        <is>
          <t>High</t>
        </is>
      </c>
      <c r="G6" s="18" t="inlineStr">
        <is>
          <t>RG-02</t>
        </is>
      </c>
      <c r="H6" s="18" t="inlineStr">
        <is>
          <t>R-4</t>
        </is>
      </c>
      <c r="I6" s="17" t="inlineStr">
        <is>
          <t>형준</t>
        </is>
      </c>
      <c r="J6" s="19" t="inlineStr">
        <is>
          <t>확정</t>
        </is>
      </c>
      <c r="K6" s="17" t="inlineStr">
        <is>
          <t>기존</t>
        </is>
      </c>
      <c r="L6" s="17" t="inlineStr">
        <is>
          <t>v0.1</t>
        </is>
      </c>
      <c r="M6" s="18" t="inlineStr">
        <is>
          <t>예외 규칙 미반영 시 오탐 발생</t>
        </is>
      </c>
      <c r="N6" s="45" t="inlineStr">
        <is>
          <t>MVP</t>
        </is>
      </c>
    </row>
    <row r="7">
      <c r="A7" s="16" t="inlineStr">
        <is>
          <t>REQ-042</t>
        </is>
      </c>
      <c r="B7" s="17" t="inlineStr">
        <is>
          <t>기능</t>
        </is>
      </c>
      <c r="C7" s="18" t="inlineStr">
        <is>
          <t>안전성점검</t>
        </is>
      </c>
      <c r="D7" s="18" t="inlineStr">
        <is>
          <t>동일성분 중복 점검</t>
        </is>
      </c>
      <c r="E7" s="18" t="inlineStr">
        <is>
          <t>시스템은 서로 다른 제품이 동일 성분인 경우 중복 복용으로 판정해야 한다.</t>
        </is>
      </c>
      <c r="F7" s="17" t="inlineStr">
        <is>
          <t>High</t>
        </is>
      </c>
      <c r="G7" s="18" t="inlineStr">
        <is>
          <t>RG-02</t>
        </is>
      </c>
      <c r="H7" s="18" t="inlineStr">
        <is>
          <t>R-4</t>
        </is>
      </c>
      <c r="I7" s="17" t="inlineStr">
        <is>
          <t>형준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v0.1</t>
        </is>
      </c>
      <c r="M7" s="18" t="inlineStr">
        <is>
          <t>DUR성분코드 기준 29051품목</t>
        </is>
      </c>
      <c r="N7" s="45" t="inlineStr">
        <is>
          <t>MVP</t>
        </is>
      </c>
    </row>
    <row r="8">
      <c r="A8" s="16" t="inlineStr">
        <is>
          <t>REQ-043</t>
        </is>
      </c>
      <c r="B8" s="17" t="inlineStr">
        <is>
          <t>기능</t>
        </is>
      </c>
      <c r="C8" s="18" t="inlineStr">
        <is>
          <t>안전성점검</t>
        </is>
      </c>
      <c r="D8" s="18" t="inlineStr">
        <is>
          <t>효능군 중복 점검</t>
        </is>
      </c>
      <c r="E8" s="18" t="inlineStr">
        <is>
          <t>시스템은 서로 다른 제품이 동일 효능군인 경우 중복으로 판정해야 한다.</t>
        </is>
      </c>
      <c r="F8" s="17" t="inlineStr">
        <is>
          <t>High</t>
        </is>
      </c>
      <c r="G8" s="18" t="inlineStr">
        <is>
          <t>RG-02</t>
        </is>
      </c>
      <c r="H8" s="18" t="inlineStr">
        <is>
          <t>R-4</t>
        </is>
      </c>
      <c r="I8" s="17" t="inlineStr">
        <is>
          <t>형준</t>
        </is>
      </c>
      <c r="J8" s="19" t="inlineStr">
        <is>
          <t>확정</t>
        </is>
      </c>
      <c r="K8" s="17" t="inlineStr">
        <is>
          <t>기존</t>
        </is>
      </c>
      <c r="L8" s="17" t="inlineStr">
        <is>
          <t>v0.1</t>
        </is>
      </c>
      <c r="M8" s="18" t="inlineStr">
        <is>
          <t>효능군중복점검코드 278개</t>
        </is>
      </c>
      <c r="N8" s="45" t="inlineStr">
        <is>
          <t>MVP</t>
        </is>
      </c>
    </row>
    <row r="9">
      <c r="A9" s="16" t="inlineStr">
        <is>
          <t>REQ-044</t>
        </is>
      </c>
      <c r="B9" s="17" t="inlineStr">
        <is>
          <t>기능</t>
        </is>
      </c>
      <c r="C9" s="18" t="inlineStr">
        <is>
          <t>안전성점검</t>
        </is>
      </c>
      <c r="D9" s="18" t="inlineStr">
        <is>
          <t>노인주의 점검</t>
        </is>
      </c>
      <c r="E9" s="18" t="inlineStr">
        <is>
          <t>시스템은 사용자가 65세 이상인 경우 노인주의 대상 약품을 식별하여 안내해야 한다.</t>
        </is>
      </c>
      <c r="F9" s="17" t="inlineStr">
        <is>
          <t>High</t>
        </is>
      </c>
      <c r="G9" s="18" t="inlineStr">
        <is>
          <t>RG-02</t>
        </is>
      </c>
      <c r="H9" s="18" t="inlineStr">
        <is>
          <t>R-4</t>
        </is>
      </c>
      <c r="I9" s="17" t="inlineStr">
        <is>
          <t>형준</t>
        </is>
      </c>
      <c r="J9" s="19" t="inlineStr">
        <is>
          <t>확정</t>
        </is>
      </c>
      <c r="K9" s="17" t="inlineStr">
        <is>
          <t>기존</t>
        </is>
      </c>
      <c r="L9" s="17" t="inlineStr">
        <is>
          <t>v0.1</t>
        </is>
      </c>
      <c r="M9" s="18" t="inlineStr">
        <is>
          <t>고령 타겟의 핵심 기능</t>
        </is>
      </c>
      <c r="N9" s="45" t="inlineStr">
        <is>
          <t>MVP</t>
        </is>
      </c>
    </row>
    <row r="10">
      <c r="A10" s="16" t="inlineStr">
        <is>
          <t>REQ-045</t>
        </is>
      </c>
      <c r="B10" s="17" t="inlineStr">
        <is>
          <t>기능</t>
        </is>
      </c>
      <c r="C10" s="18" t="inlineStr">
        <is>
          <t>안전성점검</t>
        </is>
      </c>
      <c r="D10" s="18" t="inlineStr">
        <is>
          <t>연령금기 점검</t>
        </is>
      </c>
      <c r="E10" s="18" t="inlineStr">
        <is>
          <t>시스템은 사용자 연령이 금기 조건에 해당하는 약품을 식별해야 한다.</t>
        </is>
      </c>
      <c r="F10" s="17" t="inlineStr">
        <is>
          <t>Medium</t>
        </is>
      </c>
      <c r="G10" s="18" t="inlineStr">
        <is>
          <t>RG-02</t>
        </is>
      </c>
      <c r="H10" s="18" t="inlineStr">
        <is>
          <t>R-4</t>
        </is>
      </c>
      <c r="I10" s="17" t="inlineStr">
        <is>
          <t>형준</t>
        </is>
      </c>
      <c r="J10" s="19" t="inlineStr">
        <is>
          <t>확정</t>
        </is>
      </c>
      <c r="K10" s="17" t="inlineStr">
        <is>
          <t>기존</t>
        </is>
      </c>
      <c r="L10" s="17" t="inlineStr">
        <is>
          <t>v0.1</t>
        </is>
      </c>
      <c r="M10" s="18" t="inlineStr"/>
      <c r="N10" s="45" t="inlineStr">
        <is>
          <t>MVP</t>
        </is>
      </c>
    </row>
    <row r="11">
      <c r="A11" s="16" t="inlineStr">
        <is>
          <t>REQ-046</t>
        </is>
      </c>
      <c r="B11" s="17" t="inlineStr">
        <is>
          <t>기능</t>
        </is>
      </c>
      <c r="C11" s="18" t="inlineStr">
        <is>
          <t>안전성점검</t>
        </is>
      </c>
      <c r="D11" s="18" t="inlineStr">
        <is>
          <t>1일 최대용량 초과 점검</t>
        </is>
      </c>
      <c r="E11" s="18" t="inlineStr">
        <is>
          <t>시스템은 동일 성분 중복 시 1일 총 투여량을 합산하여 최대 투여기준량 초과 여부를 판정해야 한다.</t>
        </is>
      </c>
      <c r="F11" s="17" t="inlineStr">
        <is>
          <t>Medium</t>
        </is>
      </c>
      <c r="G11" s="18" t="inlineStr">
        <is>
          <t>RG-02 · RG-03</t>
        </is>
      </c>
      <c r="H11" s="18" t="inlineStr">
        <is>
          <t>R-4 · R-5</t>
        </is>
      </c>
      <c r="I11" s="17" t="inlineStr">
        <is>
          <t>형준</t>
        </is>
      </c>
      <c r="J11" s="19" t="inlineStr">
        <is>
          <t>확정</t>
        </is>
      </c>
      <c r="K11" s="17" t="inlineStr">
        <is>
          <t>기존</t>
        </is>
      </c>
      <c r="L11" s="17" t="inlineStr">
        <is>
          <t>v0.1</t>
        </is>
      </c>
      <c r="M11" s="18" t="inlineStr">
        <is>
          <t>REQ-021 구조화 결과에 의존</t>
        </is>
      </c>
      <c r="N11" s="45" t="inlineStr">
        <is>
          <t>MVP</t>
        </is>
      </c>
    </row>
    <row r="12">
      <c r="A12" s="12" t="inlineStr">
        <is>
          <t>REQ-047</t>
        </is>
      </c>
      <c r="B12" s="13" t="inlineStr">
        <is>
          <t>기능</t>
        </is>
      </c>
      <c r="C12" s="14" t="inlineStr">
        <is>
          <t>안전성점검</t>
        </is>
      </c>
      <c r="D12" s="14" t="inlineStr">
        <is>
          <t>경고 근거 표시</t>
        </is>
      </c>
      <c r="E12" s="14" t="inlineStr">
        <is>
          <t>시스템은 경고마다 관련 약(처방 병원 · 성분), 쉬운 설명, 금기 사유 원문, 고시명 · 고시일, 판정 방식(DB 조회)을 상세 화면에서 보여줘야 한다.</t>
        </is>
      </c>
      <c r="F12" s="13" t="inlineStr">
        <is>
          <t>High</t>
        </is>
      </c>
      <c r="G12" s="14" t="inlineStr">
        <is>
          <t>RG-03</t>
        </is>
      </c>
      <c r="H12" s="14" t="inlineStr">
        <is>
          <t>R-5</t>
        </is>
      </c>
      <c r="I12" s="13" t="inlineStr">
        <is>
          <t>형준</t>
        </is>
      </c>
      <c r="J12" s="15" t="inlineStr">
        <is>
          <t>확정</t>
        </is>
      </c>
      <c r="K12" s="13" t="inlineStr">
        <is>
          <t>수정</t>
        </is>
      </c>
      <c r="L12" s="13" t="inlineStr">
        <is>
          <t>v1.0</t>
        </is>
      </c>
      <c r="M12" s="14" t="inlineStr">
        <is>
          <t>근거 제시가 서비스 신뢰도의 핵심</t>
        </is>
      </c>
      <c r="N12" s="44" t="inlineStr">
        <is>
          <t>MVP</t>
        </is>
      </c>
    </row>
    <row r="13">
      <c r="A13" s="12" t="inlineStr">
        <is>
          <t>REQ-048</t>
        </is>
      </c>
      <c r="B13" s="13" t="inlineStr">
        <is>
          <t>기능</t>
        </is>
      </c>
      <c r="C13" s="14" t="inlineStr">
        <is>
          <t>안전성점검</t>
        </is>
      </c>
      <c r="D13" s="14" t="inlineStr">
        <is>
          <t>경고 등급 구분</t>
        </is>
      </c>
      <c r="E13" s="14" t="inlineStr">
        <is>
          <t>시스템은 경고를 위험 / 주의 / 참고 3단계로 구분하고, 등급을 색과 함께 글자 라벨로 표시해야 한다.</t>
        </is>
      </c>
      <c r="F13" s="13" t="inlineStr">
        <is>
          <t>Medium</t>
        </is>
      </c>
      <c r="G13" s="14" t="inlineStr">
        <is>
          <t>RG-02</t>
        </is>
      </c>
      <c r="H13" s="14" t="inlineStr">
        <is>
          <t>R-4</t>
        </is>
      </c>
      <c r="I13" s="13" t="inlineStr">
        <is>
          <t>형준</t>
        </is>
      </c>
      <c r="J13" s="15" t="inlineStr">
        <is>
          <t>확정</t>
        </is>
      </c>
      <c r="K13" s="13" t="inlineStr">
        <is>
          <t>수정</t>
        </is>
      </c>
      <c r="L13" s="13" t="inlineStr">
        <is>
          <t>v1.0</t>
        </is>
      </c>
      <c r="M13" s="14" t="inlineStr"/>
      <c r="N13" s="44" t="inlineStr">
        <is>
          <t>MVP</t>
        </is>
      </c>
    </row>
    <row r="14">
      <c r="A14" s="20" t="inlineStr">
        <is>
          <t>REQ-049</t>
        </is>
      </c>
      <c r="B14" s="21" t="inlineStr">
        <is>
          <t>기능</t>
        </is>
      </c>
      <c r="C14" s="22" t="inlineStr">
        <is>
          <t>안전성점검</t>
        </is>
      </c>
      <c r="D14" s="22" t="inlineStr">
        <is>
          <t>다제약물 경고</t>
        </is>
      </c>
      <c r="E14" s="22" t="inlineStr">
        <is>
          <t>시스템은 복용 약이 기준 개수 이상이면 여러 약을 함께 먹고 있다는 사실과 약사 상담을 안내해야 한다.</t>
        </is>
      </c>
      <c r="F14" s="21" t="inlineStr">
        <is>
          <t>Medium</t>
        </is>
      </c>
      <c r="G14" s="22" t="inlineStr">
        <is>
          <t>RG-02</t>
        </is>
      </c>
      <c r="H14" s="22" t="inlineStr">
        <is>
          <t>R-4</t>
        </is>
      </c>
      <c r="I14" s="21" t="inlineStr">
        <is>
          <t>형준</t>
        </is>
      </c>
      <c r="J14" s="24" t="inlineStr">
        <is>
          <t>팀 확인 필요</t>
        </is>
      </c>
      <c r="K14" s="21" t="inlineStr">
        <is>
          <t>신규</t>
        </is>
      </c>
      <c r="L14" s="21" t="inlineStr">
        <is>
          <t>v1.0</t>
        </is>
      </c>
      <c r="M14" s="22" t="inlineStr">
        <is>
          <t>기준 개수 5개 검토 중</t>
        </is>
      </c>
      <c r="N14" s="46" t="inlineStr">
        <is>
          <t>MVP</t>
        </is>
      </c>
    </row>
    <row r="15">
      <c r="A15" s="12" t="inlineStr">
        <is>
          <t>REQ-050</t>
        </is>
      </c>
      <c r="B15" s="13" t="inlineStr">
        <is>
          <t>기능</t>
        </is>
      </c>
      <c r="C15" s="14" t="inlineStr">
        <is>
          <t>안내문생성</t>
        </is>
      </c>
      <c r="D15" s="14" t="inlineStr">
        <is>
          <t>복약 안내문 생성</t>
        </is>
      </c>
      <c r="E15" s="14" t="inlineStr">
        <is>
          <t>시스템은 약품별로 무엇에 쓰나요 / 어떻게 먹나요 / 주의할 점 / 출처를 같은 순서로, 비전문가가 이해할 수 있는 문장으로 생성해야 한다.</t>
        </is>
      </c>
      <c r="F15" s="13" t="inlineStr">
        <is>
          <t>High</t>
        </is>
      </c>
      <c r="G15" s="14" t="inlineStr">
        <is>
          <t>RG-04</t>
        </is>
      </c>
      <c r="H15" s="14" t="inlineStr">
        <is>
          <t>R-4</t>
        </is>
      </c>
      <c r="I15" s="13" t="inlineStr">
        <is>
          <t>형준</t>
        </is>
      </c>
      <c r="J15" s="15" t="inlineStr">
        <is>
          <t>확정</t>
        </is>
      </c>
      <c r="K15" s="13" t="inlineStr">
        <is>
          <t>수정</t>
        </is>
      </c>
      <c r="L15" s="13" t="inlineStr">
        <is>
          <t>v1.0</t>
        </is>
      </c>
      <c r="M15" s="14" t="inlineStr">
        <is>
          <t>참여기업 필수 요구사항</t>
        </is>
      </c>
      <c r="N15" s="44" t="inlineStr">
        <is>
          <t>MVP</t>
        </is>
      </c>
    </row>
    <row r="16">
      <c r="A16" s="16" t="inlineStr">
        <is>
          <t>REQ-051</t>
        </is>
      </c>
      <c r="B16" s="17" t="inlineStr">
        <is>
          <t>기능</t>
        </is>
      </c>
      <c r="C16" s="18" t="inlineStr">
        <is>
          <t>안내문생성</t>
        </is>
      </c>
      <c r="D16" s="18" t="inlineStr">
        <is>
          <t>근거 기반 생성</t>
        </is>
      </c>
      <c r="E16" s="18" t="inlineStr">
        <is>
          <t>시스템은 식약처 허가정보에 근거한 내용만 생성해야 하며 근거가 없는 내용은 생성하지 않아야 한다.</t>
        </is>
      </c>
      <c r="F16" s="17" t="inlineStr">
        <is>
          <t>High</t>
        </is>
      </c>
      <c r="G16" s="18" t="inlineStr">
        <is>
          <t>RG-04</t>
        </is>
      </c>
      <c r="H16" s="18" t="inlineStr">
        <is>
          <t>R-4</t>
        </is>
      </c>
      <c r="I16" s="17" t="inlineStr">
        <is>
          <t>형준</t>
        </is>
      </c>
      <c r="J16" s="19" t="inlineStr">
        <is>
          <t>확정</t>
        </is>
      </c>
      <c r="K16" s="17" t="inlineStr">
        <is>
          <t>기존</t>
        </is>
      </c>
      <c r="L16" s="17" t="inlineStr">
        <is>
          <t>v0.1</t>
        </is>
      </c>
      <c r="M16" s="18" t="inlineStr">
        <is>
          <t>환각 방지 (RAG)</t>
        </is>
      </c>
      <c r="N16" s="45" t="inlineStr">
        <is>
          <t>MVP</t>
        </is>
      </c>
    </row>
    <row r="17">
      <c r="A17" s="16" t="inlineStr">
        <is>
          <t>REQ-052</t>
        </is>
      </c>
      <c r="B17" s="17" t="inlineStr">
        <is>
          <t>기능</t>
        </is>
      </c>
      <c r="C17" s="18" t="inlineStr">
        <is>
          <t>안내문생성</t>
        </is>
      </c>
      <c r="D17" s="18" t="inlineStr">
        <is>
          <t>출처 표시</t>
        </is>
      </c>
      <c r="E17" s="18" t="inlineStr">
        <is>
          <t>시스템은 생성된 안내문에 근거 출처(식약처 허가정보 등)를 표시해야 한다.</t>
        </is>
      </c>
      <c r="F17" s="17" t="inlineStr">
        <is>
          <t>High</t>
        </is>
      </c>
      <c r="G17" s="18" t="inlineStr">
        <is>
          <t>RG-03 · RG-04</t>
        </is>
      </c>
      <c r="H17" s="18" t="inlineStr">
        <is>
          <t>R-4 · R-5</t>
        </is>
      </c>
      <c r="I17" s="17" t="inlineStr">
        <is>
          <t>형준</t>
        </is>
      </c>
      <c r="J17" s="19" t="inlineStr">
        <is>
          <t>확정</t>
        </is>
      </c>
      <c r="K17" s="17" t="inlineStr">
        <is>
          <t>기존</t>
        </is>
      </c>
      <c r="L17" s="17" t="inlineStr">
        <is>
          <t>v0.1</t>
        </is>
      </c>
      <c r="M17" s="18" t="inlineStr"/>
      <c r="N17" s="45" t="inlineStr">
        <is>
          <t>MVP</t>
        </is>
      </c>
    </row>
    <row r="18">
      <c r="A18" s="16" t="inlineStr">
        <is>
          <t>REQ-053</t>
        </is>
      </c>
      <c r="B18" s="17" t="inlineStr">
        <is>
          <t>기능</t>
        </is>
      </c>
      <c r="C18" s="18" t="inlineStr">
        <is>
          <t>안내문생성</t>
        </is>
      </c>
      <c r="D18" s="18" t="inlineStr">
        <is>
          <t>면책 문구 표시</t>
        </is>
      </c>
      <c r="E18" s="18" t="inlineStr">
        <is>
          <t>시스템은 모든 안내문에 의학적 진단·처방이 아님을 명시하는 문구를 표시해야 한다.</t>
        </is>
      </c>
      <c r="F18" s="17" t="inlineStr">
        <is>
          <t>High</t>
        </is>
      </c>
      <c r="G18" s="18" t="inlineStr">
        <is>
          <t>CM-03 · RG-02~05</t>
        </is>
      </c>
      <c r="H18" s="18" t="inlineStr">
        <is>
          <t>R-4</t>
        </is>
      </c>
      <c r="I18" s="17" t="inlineStr">
        <is>
          <t>형준</t>
        </is>
      </c>
      <c r="J18" s="19" t="inlineStr">
        <is>
          <t>확정</t>
        </is>
      </c>
      <c r="K18" s="17" t="inlineStr">
        <is>
          <t>기존</t>
        </is>
      </c>
      <c r="L18" s="17" t="inlineStr">
        <is>
          <t>v0.1</t>
        </is>
      </c>
      <c r="M18" s="18" t="inlineStr">
        <is>
          <t>의료 서비스 필수</t>
        </is>
      </c>
      <c r="N18" s="45" t="inlineStr">
        <is>
          <t>MVP</t>
        </is>
      </c>
    </row>
    <row r="19">
      <c r="A19" s="12" t="inlineStr">
        <is>
          <t>REQ-054</t>
        </is>
      </c>
      <c r="B19" s="13" t="inlineStr">
        <is>
          <t>기능</t>
        </is>
      </c>
      <c r="C19" s="14" t="inlineStr">
        <is>
          <t>안내문생성</t>
        </is>
      </c>
      <c r="D19" s="14" t="inlineStr">
        <is>
          <t>생성 진행 상태 표시</t>
        </is>
      </c>
      <c r="E19" s="14" t="inlineStr">
        <is>
          <t>시스템은 분석 중 약 정보 확인 / 안전성 점검 / 안내문 작성 단계와 각 상태(완료 · 진행 중 · 대기)를 화면에 표시해야 한다.</t>
        </is>
      </c>
      <c r="F19" s="13" t="inlineStr">
        <is>
          <t>High</t>
        </is>
      </c>
      <c r="G19" s="14" t="inlineStr">
        <is>
          <t>RG-01</t>
        </is>
      </c>
      <c r="H19" s="14" t="inlineStr">
        <is>
          <t>R-2</t>
        </is>
      </c>
      <c r="I19" s="13" t="inlineStr">
        <is>
          <t>형준</t>
        </is>
      </c>
      <c r="J19" s="15" t="inlineStr">
        <is>
          <t>확정</t>
        </is>
      </c>
      <c r="K19" s="13" t="inlineStr">
        <is>
          <t>수정</t>
        </is>
      </c>
      <c r="L19" s="13" t="inlineStr">
        <is>
          <t>v1.0</t>
        </is>
      </c>
      <c r="M19" s="14" t="inlineStr">
        <is>
          <t>수십 초 소요 - 비동기 처리</t>
        </is>
      </c>
      <c r="N19" s="44" t="inlineStr">
        <is>
          <t>MVP</t>
        </is>
      </c>
    </row>
    <row r="20">
      <c r="A20" s="12" t="inlineStr">
        <is>
          <t>REQ-055</t>
        </is>
      </c>
      <c r="B20" s="13" t="inlineStr">
        <is>
          <t>기능</t>
        </is>
      </c>
      <c r="C20" s="14" t="inlineStr">
        <is>
          <t>안내문생성</t>
        </is>
      </c>
      <c r="D20" s="14" t="inlineStr">
        <is>
          <t>생성 실패 처리</t>
        </is>
      </c>
      <c r="E20" s="14" t="inlineStr">
        <is>
          <t>시스템은 분석 실패 시 실패한 단계와 사유를 안내하고, 실패한 단계부터 다시 시도할 수 있게 해야 한다. 3회 연속 실패 시 재시도를 막는다.</t>
        </is>
      </c>
      <c r="F20" s="13" t="inlineStr">
        <is>
          <t>High</t>
        </is>
      </c>
      <c r="G20" s="14" t="inlineStr">
        <is>
          <t>RG-01-E1</t>
        </is>
      </c>
      <c r="H20" s="14" t="inlineStr">
        <is>
          <t>R-2 · R-3</t>
        </is>
      </c>
      <c r="I20" s="13" t="inlineStr">
        <is>
          <t>형준</t>
        </is>
      </c>
      <c r="J20" s="15" t="inlineStr">
        <is>
          <t>확정</t>
        </is>
      </c>
      <c r="K20" s="13" t="inlineStr">
        <is>
          <t>수정</t>
        </is>
      </c>
      <c r="L20" s="13" t="inlineStr">
        <is>
          <t>v1.0</t>
        </is>
      </c>
      <c r="M20" s="14" t="inlineStr">
        <is>
          <t>예외 처리</t>
        </is>
      </c>
      <c r="N20" s="44" t="inlineStr">
        <is>
          <t>MVP</t>
        </is>
      </c>
    </row>
    <row r="21">
      <c r="A21" s="20" t="inlineStr">
        <is>
          <t>REQ-056</t>
        </is>
      </c>
      <c r="B21" s="21" t="inlineStr">
        <is>
          <t>기능</t>
        </is>
      </c>
      <c r="C21" s="22" t="inlineStr">
        <is>
          <t>안내문생성</t>
        </is>
      </c>
      <c r="D21" s="22" t="inlineStr">
        <is>
          <t>부분 결과 제공</t>
        </is>
      </c>
      <c r="E21" s="22" t="inlineStr">
        <is>
          <t>시스템은 안내문 작성만 실패한 경우에도 이미 끝난 안전성 점검 결과를 먼저 보여줄 수 있어야 한다.</t>
        </is>
      </c>
      <c r="F21" s="21" t="inlineStr">
        <is>
          <t>High</t>
        </is>
      </c>
      <c r="G21" s="22" t="inlineStr">
        <is>
          <t>RG-01-E1 · RG-02</t>
        </is>
      </c>
      <c r="H21" s="22" t="inlineStr">
        <is>
          <t>R-2 · R-4</t>
        </is>
      </c>
      <c r="I21" s="21" t="inlineStr">
        <is>
          <t>형준</t>
        </is>
      </c>
      <c r="J21" s="23" t="inlineStr">
        <is>
          <t>확정</t>
        </is>
      </c>
      <c r="K21" s="21" t="inlineStr">
        <is>
          <t>신규</t>
        </is>
      </c>
      <c r="L21" s="21" t="inlineStr">
        <is>
          <t>v1.0</t>
        </is>
      </c>
      <c r="M21" s="22" t="inlineStr">
        <is>
          <t>경고는 AI를 거치지 않아 먼저 나올 수 있음</t>
        </is>
      </c>
      <c r="N21" s="46" t="inlineStr">
        <is>
          <t>MVP</t>
        </is>
      </c>
    </row>
    <row r="22">
      <c r="A22" s="20" t="inlineStr">
        <is>
          <t>REQ-057</t>
        </is>
      </c>
      <c r="B22" s="21" t="inlineStr">
        <is>
          <t>기능</t>
        </is>
      </c>
      <c r="C22" s="22" t="inlineStr">
        <is>
          <t>안내문생성</t>
        </is>
      </c>
      <c r="D22" s="22" t="inlineStr">
        <is>
          <t>확인된 위험 없음 안내</t>
        </is>
      </c>
      <c r="E22" s="22" t="inlineStr">
        <is>
          <t>시스템은 경고가 0건일 때 "안전하다"고 단정하지 않고 "확인된 위험이 없다"는 문구, 점검한 항목 목록, 자료의 한계를 함께 보여줘야 한다.</t>
        </is>
      </c>
      <c r="F22" s="21" t="inlineStr">
        <is>
          <t>High</t>
        </is>
      </c>
      <c r="G22" s="22" t="inlineStr">
        <is>
          <t>RG-02-E1</t>
        </is>
      </c>
      <c r="H22" s="22" t="inlineStr">
        <is>
          <t>R-4</t>
        </is>
      </c>
      <c r="I22" s="21" t="inlineStr">
        <is>
          <t>형준</t>
        </is>
      </c>
      <c r="J22" s="23" t="inlineStr">
        <is>
          <t>확정</t>
        </is>
      </c>
      <c r="K22" s="21" t="inlineStr">
        <is>
          <t>신규</t>
        </is>
      </c>
      <c r="L22" s="21" t="inlineStr">
        <is>
          <t>v1.0</t>
        </is>
      </c>
      <c r="M22" s="22" t="inlineStr">
        <is>
          <t>와이어프레임에서 추가</t>
        </is>
      </c>
      <c r="N22" s="46" t="inlineStr">
        <is>
          <t>MVP</t>
        </is>
      </c>
    </row>
    <row r="23">
      <c r="A23" s="20" t="inlineStr">
        <is>
          <t>REQ-058</t>
        </is>
      </c>
      <c r="B23" s="21" t="inlineStr">
        <is>
          <t>기능</t>
        </is>
      </c>
      <c r="C23" s="22" t="inlineStr">
        <is>
          <t>안내문생성</t>
        </is>
      </c>
      <c r="D23" s="22" t="inlineStr">
        <is>
          <t>분석 중 화면 이탈 허용</t>
        </is>
      </c>
      <c r="E23" s="22" t="inlineStr">
        <is>
          <t>사용자는 분석 중 화면을 떠날 수 있어야 하며, 분석은 계속 진행되고 홈의 최근 분석 카드에 "분석 중"으로 표시된다.</t>
        </is>
      </c>
      <c r="F23" s="21" t="inlineStr">
        <is>
          <t>Medium</t>
        </is>
      </c>
      <c r="G23" s="22" t="inlineStr">
        <is>
          <t>RG-01 · CM-03</t>
        </is>
      </c>
      <c r="H23" s="22" t="inlineStr">
        <is>
          <t>R-2 · R-7</t>
        </is>
      </c>
      <c r="I23" s="21" t="inlineStr">
        <is>
          <t>형준</t>
        </is>
      </c>
      <c r="J23" s="23" t="inlineStr">
        <is>
          <t>확정</t>
        </is>
      </c>
      <c r="K23" s="21" t="inlineStr">
        <is>
          <t>신규</t>
        </is>
      </c>
      <c r="L23" s="21" t="inlineStr">
        <is>
          <t>v1.0</t>
        </is>
      </c>
      <c r="M23" s="22" t="inlineStr">
        <is>
          <t>비동기 처리(NFR-002)</t>
        </is>
      </c>
      <c r="N23" s="46" t="inlineStr">
        <is>
          <t>MVP</t>
        </is>
      </c>
    </row>
    <row r="24">
      <c r="A24" s="12" t="inlineStr">
        <is>
          <t>REQ-060</t>
        </is>
      </c>
      <c r="B24" s="13" t="inlineStr">
        <is>
          <t>기능</t>
        </is>
      </c>
      <c r="C24" s="14" t="inlineStr">
        <is>
          <t>생활습관</t>
        </is>
      </c>
      <c r="D24" s="14" t="inlineStr">
        <is>
          <t>질환별 생활습관 가이드</t>
        </is>
      </c>
      <c r="E24" s="14" t="inlineStr">
        <is>
          <t>시스템은 인식된 상병코드에 해당하는 생활습관 개선 가이드를 제공해야 한다. 실천 항목마다 근거 출처(기관 · 문서명 · 판 · 발행일 · URL)를 함께 표시한다.</t>
        </is>
      </c>
      <c r="F24" s="13" t="inlineStr">
        <is>
          <t>High</t>
        </is>
      </c>
      <c r="G24" s="14" t="inlineStr">
        <is>
          <t>RG-05</t>
        </is>
      </c>
      <c r="H24" s="14" t="inlineStr">
        <is>
          <t>R-4</t>
        </is>
      </c>
      <c r="I24" s="13" t="inlineStr">
        <is>
          <t>형준</t>
        </is>
      </c>
      <c r="J24" s="15" t="inlineStr">
        <is>
          <t>확정</t>
        </is>
      </c>
      <c r="K24" s="13" t="inlineStr">
        <is>
          <t>수정</t>
        </is>
      </c>
      <c r="L24" s="13" t="inlineStr">
        <is>
          <t>v1.3</t>
        </is>
      </c>
      <c r="M24" s="14" t="inlineStr">
        <is>
          <t>참여기업 필수 요구사항</t>
        </is>
      </c>
      <c r="N24" s="44" t="inlineStr">
        <is>
          <t>MVP</t>
        </is>
      </c>
    </row>
    <row r="25">
      <c r="A25" s="12" t="inlineStr">
        <is>
          <t>REQ-061</t>
        </is>
      </c>
      <c r="B25" s="13" t="inlineStr">
        <is>
          <t>기능</t>
        </is>
      </c>
      <c r="C25" s="14" t="inlineStr">
        <is>
          <t>생활습관</t>
        </is>
      </c>
      <c r="D25" s="14" t="inlineStr">
        <is>
          <t>복약 연계 가이드</t>
        </is>
      </c>
      <c r="E25" s="14" t="inlineStr">
        <is>
          <t>시스템은 복용 중인 약물군과 연계한 생활습관 주의사항을 제공해야 한다. 칼륨처럼 신장 기능 · 병용 약에 따라 권고가 달라지는 항목은 "의료진 확인" 안내로만 표시하고 실천 목표로 만들지 않는다.</t>
        </is>
      </c>
      <c r="F25" s="13" t="inlineStr">
        <is>
          <t>High</t>
        </is>
      </c>
      <c r="G25" s="14" t="inlineStr">
        <is>
          <t>RG-05</t>
        </is>
      </c>
      <c r="H25" s="14" t="inlineStr">
        <is>
          <t>R-4</t>
        </is>
      </c>
      <c r="I25" s="13" t="inlineStr">
        <is>
          <t>형준</t>
        </is>
      </c>
      <c r="J25" s="15" t="inlineStr">
        <is>
          <t>확정</t>
        </is>
      </c>
      <c r="K25" s="13" t="inlineStr">
        <is>
          <t>수정</t>
        </is>
      </c>
      <c r="L25" s="13" t="inlineStr">
        <is>
          <t>v1.3</t>
        </is>
      </c>
      <c r="M25" s="14" t="inlineStr">
        <is>
          <t>예: 이뇨제 · ACE억제제/ARB와 칼륨 (의료진 확인) / 와파린 복용 시 비타민K</t>
        </is>
      </c>
      <c r="N25" s="44" t="inlineStr">
        <is>
          <t>MVP</t>
        </is>
      </c>
    </row>
    <row r="26">
      <c r="A26" s="16" t="inlineStr">
        <is>
          <t>REQ-062</t>
        </is>
      </c>
      <c r="B26" s="17" t="inlineStr">
        <is>
          <t>기능</t>
        </is>
      </c>
      <c r="C26" s="18" t="inlineStr">
        <is>
          <t>생활습관</t>
        </is>
      </c>
      <c r="D26" s="18" t="inlineStr">
        <is>
          <t>상충 권고 처리</t>
        </is>
      </c>
      <c r="E26" s="18" t="inlineStr">
        <is>
          <t>시스템은 복수 질환으로 권고가 상충하는 경우 안전한 쪽을 우선하고 의료진 상담을 안내해야 한다.</t>
        </is>
      </c>
      <c r="F26" s="17" t="inlineStr">
        <is>
          <t>Medium</t>
        </is>
      </c>
      <c r="G26" s="18" t="inlineStr">
        <is>
          <t>RG-05</t>
        </is>
      </c>
      <c r="H26" s="18" t="inlineStr">
        <is>
          <t>R-4</t>
        </is>
      </c>
      <c r="I26" s="17" t="inlineStr">
        <is>
          <t>형준</t>
        </is>
      </c>
      <c r="J26" s="19" t="inlineStr">
        <is>
          <t>확정</t>
        </is>
      </c>
      <c r="K26" s="17" t="inlineStr">
        <is>
          <t>기존</t>
        </is>
      </c>
      <c r="L26" s="17" t="inlineStr">
        <is>
          <t>v0.1</t>
        </is>
      </c>
      <c r="M26" s="18" t="inlineStr">
        <is>
          <t>예: 고혈압(칼륨 권장) + 신장병(칼륨 제한)</t>
        </is>
      </c>
      <c r="N26" s="45" t="inlineStr">
        <is>
          <t>MVP</t>
        </is>
      </c>
    </row>
    <row r="27">
      <c r="A27" s="20" t="inlineStr">
        <is>
          <t>REQ-063</t>
        </is>
      </c>
      <c r="B27" s="21" t="inlineStr">
        <is>
          <t>기능</t>
        </is>
      </c>
      <c r="C27" s="22" t="inlineStr">
        <is>
          <t>생활습관</t>
        </is>
      </c>
      <c r="D27" s="22" t="inlineStr">
        <is>
          <t>질환 정보 없을 때 처리</t>
        </is>
      </c>
      <c r="E27" s="22" t="inlineStr">
        <is>
          <t>시스템은 질병분류기호가 없을 때(약봉투 등) 약 기준 주의사항은 그대로 보여주고, 사용자가 해당 질환을 직접 고를 수 있게 해야 한다. 직접 고른 질환은 처방전 코드와 구분해 표시한다.</t>
        </is>
      </c>
      <c r="F27" s="21" t="inlineStr">
        <is>
          <t>Medium</t>
        </is>
      </c>
      <c r="G27" s="22" t="inlineStr">
        <is>
          <t>RG-05-E1</t>
        </is>
      </c>
      <c r="H27" s="22" t="inlineStr">
        <is>
          <t>R-6</t>
        </is>
      </c>
      <c r="I27" s="21" t="inlineStr">
        <is>
          <t>형준</t>
        </is>
      </c>
      <c r="J27" s="24" t="inlineStr">
        <is>
          <t>팀 확인 필요</t>
        </is>
      </c>
      <c r="K27" s="21" t="inlineStr">
        <is>
          <t>신규</t>
        </is>
      </c>
      <c r="L27" s="21" t="inlineStr">
        <is>
          <t>v1.0</t>
        </is>
      </c>
      <c r="M27" s="22" t="inlineStr">
        <is>
          <t>질환 선택이 진단처럼 보이지 않도록 문구 검토</t>
        </is>
      </c>
      <c r="N27" s="46" t="inlineStr">
        <is>
          <t>MVP</t>
        </is>
      </c>
    </row>
    <row r="28">
      <c r="A28" s="16" t="inlineStr">
        <is>
          <t>REQ-090</t>
        </is>
      </c>
      <c r="B28" s="17" t="inlineStr">
        <is>
          <t>기능</t>
        </is>
      </c>
      <c r="C28" s="18" t="inlineStr">
        <is>
          <t>피드백</t>
        </is>
      </c>
      <c r="D28" s="18" t="inlineStr">
        <is>
          <t>안내문 평가</t>
        </is>
      </c>
      <c r="E28" s="18" t="inlineStr">
        <is>
          <t>사용자는 생성된 안내문에 대해 도움됨/도움안됨을 평가할 수 있어야 한다.</t>
        </is>
      </c>
      <c r="F28" s="17" t="inlineStr">
        <is>
          <t>High</t>
        </is>
      </c>
      <c r="G28" s="18" t="inlineStr">
        <is>
          <t>RG-04</t>
        </is>
      </c>
      <c r="H28" s="18" t="inlineStr">
        <is>
          <t>R-9</t>
        </is>
      </c>
      <c r="I28" s="17" t="inlineStr">
        <is>
          <t>형준</t>
        </is>
      </c>
      <c r="J28" s="19" t="inlineStr">
        <is>
          <t>확정</t>
        </is>
      </c>
      <c r="K28" s="17" t="inlineStr">
        <is>
          <t>기존</t>
        </is>
      </c>
      <c r="L28" s="17" t="inlineStr">
        <is>
          <t>v0.1</t>
        </is>
      </c>
      <c r="M28" s="18" t="inlineStr">
        <is>
          <t>평가항목 3-4 대응</t>
        </is>
      </c>
      <c r="N28" s="45" t="inlineStr">
        <is>
          <t>MVP</t>
        </is>
      </c>
    </row>
    <row r="29">
      <c r="A29" s="16" t="inlineStr">
        <is>
          <t>REQ-091</t>
        </is>
      </c>
      <c r="B29" s="17" t="inlineStr">
        <is>
          <t>기능</t>
        </is>
      </c>
      <c r="C29" s="18" t="inlineStr">
        <is>
          <t>피드백</t>
        </is>
      </c>
      <c r="D29" s="18" t="inlineStr">
        <is>
          <t>의견 입력</t>
        </is>
      </c>
      <c r="E29" s="18" t="inlineStr">
        <is>
          <t>사용자는 평가와 함께 의견을 텍스트로 입력할 수 있어야 한다.</t>
        </is>
      </c>
      <c r="F29" s="17" t="inlineStr">
        <is>
          <t>Medium</t>
        </is>
      </c>
      <c r="G29" s="18" t="inlineStr">
        <is>
          <t>RG-04</t>
        </is>
      </c>
      <c r="H29" s="18" t="inlineStr">
        <is>
          <t>R-9</t>
        </is>
      </c>
      <c r="I29" s="17" t="inlineStr">
        <is>
          <t>형준</t>
        </is>
      </c>
      <c r="J29" s="19" t="inlineStr">
        <is>
          <t>확정</t>
        </is>
      </c>
      <c r="K29" s="17" t="inlineStr">
        <is>
          <t>기존</t>
        </is>
      </c>
      <c r="L29" s="17" t="inlineStr">
        <is>
          <t>v0.1</t>
        </is>
      </c>
      <c r="M29" s="18" t="inlineStr"/>
      <c r="N29" s="45" t="inlineStr">
        <is>
          <t>MVP</t>
        </is>
      </c>
    </row>
    <row r="30">
      <c r="A30" s="16" t="inlineStr">
        <is>
          <t>REQ-092</t>
        </is>
      </c>
      <c r="B30" s="17" t="inlineStr">
        <is>
          <t>기능</t>
        </is>
      </c>
      <c r="C30" s="18" t="inlineStr">
        <is>
          <t>피드백</t>
        </is>
      </c>
      <c r="D30" s="18" t="inlineStr">
        <is>
          <t>피드백 저장·활용</t>
        </is>
      </c>
      <c r="E30" s="18" t="inlineStr">
        <is>
          <t>시스템은 수집된 피드백을 저장하고 프롬프트 개선에 활용할 수 있어야 한다.</t>
        </is>
      </c>
      <c r="F30" s="17" t="inlineStr">
        <is>
          <t>Medium</t>
        </is>
      </c>
      <c r="G30" s="18" t="inlineStr">
        <is>
          <t>—</t>
        </is>
      </c>
      <c r="H30" s="18" t="inlineStr">
        <is>
          <t>R-9</t>
        </is>
      </c>
      <c r="I30" s="17" t="inlineStr">
        <is>
          <t>형준</t>
        </is>
      </c>
      <c r="J30" s="19" t="inlineStr">
        <is>
          <t>확정</t>
        </is>
      </c>
      <c r="K30" s="17" t="inlineStr">
        <is>
          <t>기존</t>
        </is>
      </c>
      <c r="L30" s="17" t="inlineStr">
        <is>
          <t>v0.1</t>
        </is>
      </c>
      <c r="M30" s="18" t="inlineStr">
        <is>
          <t>평가항목 3-4 대응</t>
        </is>
      </c>
      <c r="N30" s="45" t="inlineStr">
        <is>
          <t>MVP</t>
        </is>
      </c>
    </row>
    <row r="31">
      <c r="A31" s="16" t="inlineStr">
        <is>
          <t>REQ-100</t>
        </is>
      </c>
      <c r="B31" s="17" t="inlineStr">
        <is>
          <t>기능</t>
        </is>
      </c>
      <c r="C31" s="18" t="inlineStr">
        <is>
          <t>음성변환</t>
        </is>
      </c>
      <c r="D31" s="18" t="inlineStr">
        <is>
          <t>안내문 음성 변환</t>
        </is>
      </c>
      <c r="E31" s="18" t="inlineStr">
        <is>
          <t>사용자는 생성된 안내문을 음성으로 들을 수 있어야 한다.</t>
        </is>
      </c>
      <c r="F31" s="17" t="inlineStr">
        <is>
          <t>Low</t>
        </is>
      </c>
      <c r="G31" s="18" t="inlineStr">
        <is>
          <t>RG-04</t>
        </is>
      </c>
      <c r="H31" s="18" t="inlineStr">
        <is>
          <t>R-10</t>
        </is>
      </c>
      <c r="I31" s="17" t="inlineStr">
        <is>
          <t>형준</t>
        </is>
      </c>
      <c r="J31" s="28" t="inlineStr">
        <is>
          <t>선택 구현</t>
        </is>
      </c>
      <c r="K31" s="17" t="inlineStr">
        <is>
          <t>기존</t>
        </is>
      </c>
      <c r="L31" s="17" t="inlineStr">
        <is>
          <t>v0.1</t>
        </is>
      </c>
      <c r="M31" s="18" t="inlineStr">
        <is>
          <t>선택 구현 - 고령 타겟 접근성</t>
        </is>
      </c>
      <c r="N31" s="47" t="inlineStr">
        <is>
          <t>후순위</t>
        </is>
      </c>
    </row>
    <row r="32">
      <c r="A32" s="16" t="inlineStr">
        <is>
          <t>REQ-101</t>
        </is>
      </c>
      <c r="B32" s="17" t="inlineStr">
        <is>
          <t>기능</t>
        </is>
      </c>
      <c r="C32" s="18" t="inlineStr">
        <is>
          <t>음성변환</t>
        </is>
      </c>
      <c r="D32" s="18" t="inlineStr">
        <is>
          <t>재생 제어</t>
        </is>
      </c>
      <c r="E32" s="18" t="inlineStr">
        <is>
          <t>사용자는 음성 재생을 일시정지하고 재생 속도를 조절할 수 있어야 한다.</t>
        </is>
      </c>
      <c r="F32" s="17" t="inlineStr">
        <is>
          <t>Low</t>
        </is>
      </c>
      <c r="G32" s="18" t="inlineStr">
        <is>
          <t>RG-04</t>
        </is>
      </c>
      <c r="H32" s="18" t="inlineStr">
        <is>
          <t>R-10</t>
        </is>
      </c>
      <c r="I32" s="17" t="inlineStr">
        <is>
          <t>형준</t>
        </is>
      </c>
      <c r="J32" s="28" t="inlineStr">
        <is>
          <t>선택 구현</t>
        </is>
      </c>
      <c r="K32" s="17" t="inlineStr">
        <is>
          <t>기존</t>
        </is>
      </c>
      <c r="L32" s="17" t="inlineStr">
        <is>
          <t>v0.1</t>
        </is>
      </c>
      <c r="M32" s="18" t="inlineStr">
        <is>
          <t>선택 구현</t>
        </is>
      </c>
      <c r="N32" s="47" t="inlineStr">
        <is>
          <t>후순위</t>
        </is>
      </c>
    </row>
  </sheetData>
  <autoFilter ref="A4:N32"/>
  <dataValidations count="5">
    <dataValidation sqref="F5:F82" showDropDown="0" showInputMessage="0" showErrorMessage="0" allowBlank="1" type="list">
      <formula1>"High,Medium,Low"</formula1>
    </dataValidation>
    <dataValidation sqref="J5:J82" showDropDown="0" showInputMessage="0" showErrorMessage="0" allowBlank="1" type="list">
      <formula1>"확정,팀 확인 필요,선택 구현,보류"</formula1>
    </dataValidation>
    <dataValidation sqref="K5:K82" showDropDown="0" showInputMessage="0" showErrorMessage="0" allowBlank="1" type="list">
      <formula1>"기존,수정,신규"</formula1>
    </dataValidation>
    <dataValidation sqref="I5:I82" showDropDown="0" showInputMessage="0" showErrorMessage="0" allowBlank="1" type="list">
      <formula1>"형준,채연,수인,성규,공통"</formula1>
    </dataValidation>
    <dataValidation sqref="N5:N82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v1.4 · 챗봇</t>
        </is>
      </c>
    </row>
    <row r="2">
      <c r="A2" s="2" t="inlineStr">
        <is>
          <t>수인 · 실시간 챗봇 · 관련 화면 CB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 (제안)</t>
        </is>
      </c>
    </row>
    <row r="5">
      <c r="A5" s="16" t="inlineStr">
        <is>
          <t>REQ-070</t>
        </is>
      </c>
      <c r="B5" s="17" t="inlineStr">
        <is>
          <t>기능</t>
        </is>
      </c>
      <c r="C5" s="18" t="inlineStr">
        <is>
          <t>챗봇</t>
        </is>
      </c>
      <c r="D5" s="18" t="inlineStr">
        <is>
          <t>실시간 질의응답</t>
        </is>
      </c>
      <c r="E5" s="18" t="inlineStr">
        <is>
          <t>사용자는 복용 중인 약과 건강에 대해 챗봇으로 질문하고 답변을 받을 수 있어야 한다.</t>
        </is>
      </c>
      <c r="F5" s="17" t="inlineStr">
        <is>
          <t>High</t>
        </is>
      </c>
      <c r="G5" s="18" t="inlineStr">
        <is>
          <t>CB-01 · CB-01-E1</t>
        </is>
      </c>
      <c r="H5" s="18" t="inlineStr">
        <is>
          <t>H-1 · H-3</t>
        </is>
      </c>
      <c r="I5" s="17" t="inlineStr">
        <is>
          <t>수인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v0.1</t>
        </is>
      </c>
      <c r="M5" s="18" t="inlineStr">
        <is>
          <t>참여기업 필수 요구사항</t>
        </is>
      </c>
      <c r="N5" s="45" t="inlineStr">
        <is>
          <t>MVP</t>
        </is>
      </c>
    </row>
    <row r="6">
      <c r="A6" s="16" t="inlineStr">
        <is>
          <t>REQ-071</t>
        </is>
      </c>
      <c r="B6" s="17" t="inlineStr">
        <is>
          <t>기능</t>
        </is>
      </c>
      <c r="C6" s="18" t="inlineStr">
        <is>
          <t>챗봇</t>
        </is>
      </c>
      <c r="D6" s="18" t="inlineStr">
        <is>
          <t>대화 맥락 반영</t>
        </is>
      </c>
      <c r="E6" s="18" t="inlineStr">
        <is>
          <t>챗봇은 동일 세션의 이전 대화 내용을 반영하여 답변해야 한다.</t>
        </is>
      </c>
      <c r="F6" s="17" t="inlineStr">
        <is>
          <t>High</t>
        </is>
      </c>
      <c r="G6" s="18" t="inlineStr">
        <is>
          <t>CB-01</t>
        </is>
      </c>
      <c r="H6" s="18" t="inlineStr">
        <is>
          <t>H-2 · H-3</t>
        </is>
      </c>
      <c r="I6" s="17" t="inlineStr">
        <is>
          <t>수인</t>
        </is>
      </c>
      <c r="J6" s="19" t="inlineStr">
        <is>
          <t>확정</t>
        </is>
      </c>
      <c r="K6" s="17" t="inlineStr">
        <is>
          <t>기존</t>
        </is>
      </c>
      <c r="L6" s="17" t="inlineStr">
        <is>
          <t>v0.1</t>
        </is>
      </c>
      <c r="M6" s="18" t="inlineStr">
        <is>
          <t>참여기업 필수 요구사항에 명시</t>
        </is>
      </c>
      <c r="N6" s="45" t="inlineStr">
        <is>
          <t>MVP</t>
        </is>
      </c>
    </row>
    <row r="7">
      <c r="A7" s="16" t="inlineStr">
        <is>
          <t>REQ-072</t>
        </is>
      </c>
      <c r="B7" s="17" t="inlineStr">
        <is>
          <t>기능</t>
        </is>
      </c>
      <c r="C7" s="18" t="inlineStr">
        <is>
          <t>챗봇</t>
        </is>
      </c>
      <c r="D7" s="18" t="inlineStr">
        <is>
          <t>분석 결과 연계</t>
        </is>
      </c>
      <c r="E7" s="18" t="inlineStr">
        <is>
          <t>챗봇은 사용자의 복약 정보와 안전성 점검 결과를 근거로 답변해야 한다.</t>
        </is>
      </c>
      <c r="F7" s="17" t="inlineStr">
        <is>
          <t>High</t>
        </is>
      </c>
      <c r="G7" s="18" t="inlineStr">
        <is>
          <t>CB-01 · CB-01-E2</t>
        </is>
      </c>
      <c r="H7" s="18" t="inlineStr">
        <is>
          <t>H-1</t>
        </is>
      </c>
      <c r="I7" s="17" t="inlineStr">
        <is>
          <t>수인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v0.1</t>
        </is>
      </c>
      <c r="M7" s="18" t="inlineStr"/>
      <c r="N7" s="45" t="inlineStr">
        <is>
          <t>MVP</t>
        </is>
      </c>
    </row>
    <row r="8">
      <c r="A8" s="16" t="inlineStr">
        <is>
          <t>REQ-073</t>
        </is>
      </c>
      <c r="B8" s="17" t="inlineStr">
        <is>
          <t>기능</t>
        </is>
      </c>
      <c r="C8" s="18" t="inlineStr">
        <is>
          <t>챗봇</t>
        </is>
      </c>
      <c r="D8" s="18" t="inlineStr">
        <is>
          <t>답변 불가 처리</t>
        </is>
      </c>
      <c r="E8" s="18" t="inlineStr">
        <is>
          <t>챗봇은 근거를 찾지 못한 질문에 대해 임의로 답변하지 않고 의료진 상담을 안내해야 한다.</t>
        </is>
      </c>
      <c r="F8" s="17" t="inlineStr">
        <is>
          <t>High</t>
        </is>
      </c>
      <c r="G8" s="18" t="inlineStr">
        <is>
          <t>CB-01</t>
        </is>
      </c>
      <c r="H8" s="18" t="inlineStr">
        <is>
          <t>H-3</t>
        </is>
      </c>
      <c r="I8" s="17" t="inlineStr">
        <is>
          <t>수인</t>
        </is>
      </c>
      <c r="J8" s="27" t="inlineStr">
        <is>
          <t>팀 확인 필요</t>
        </is>
      </c>
      <c r="K8" s="17" t="inlineStr">
        <is>
          <t>기존</t>
        </is>
      </c>
      <c r="L8" s="17" t="inlineStr">
        <is>
          <t>v0.1</t>
        </is>
      </c>
      <c r="M8" s="18" t="inlineStr">
        <is>
          <t>"확인이 어렵습니다" 처리 조건 · 문구 팀 논의</t>
        </is>
      </c>
      <c r="N8" s="45" t="inlineStr">
        <is>
          <t>MVP</t>
        </is>
      </c>
    </row>
    <row r="9">
      <c r="A9" s="16" t="inlineStr">
        <is>
          <t>REQ-074</t>
        </is>
      </c>
      <c r="B9" s="17" t="inlineStr">
        <is>
          <t>기능</t>
        </is>
      </c>
      <c r="C9" s="18" t="inlineStr">
        <is>
          <t>챗봇</t>
        </is>
      </c>
      <c r="D9" s="18" t="inlineStr">
        <is>
          <t>진단·처방 요청 거절</t>
        </is>
      </c>
      <c r="E9" s="18" t="inlineStr">
        <is>
          <t>챗봇은 진단이나 처방 변경을 요구하는 질문에 대해 답변하지 않고 의료진 상담을 안내해야 한다.</t>
        </is>
      </c>
      <c r="F9" s="17" t="inlineStr">
        <is>
          <t>High</t>
        </is>
      </c>
      <c r="G9" s="18" t="inlineStr">
        <is>
          <t>CB-01</t>
        </is>
      </c>
      <c r="H9" s="18" t="inlineStr">
        <is>
          <t>H-3</t>
        </is>
      </c>
      <c r="I9" s="17" t="inlineStr">
        <is>
          <t>수인</t>
        </is>
      </c>
      <c r="J9" s="27" t="inlineStr">
        <is>
          <t>팀 확인 필요</t>
        </is>
      </c>
      <c r="K9" s="17" t="inlineStr">
        <is>
          <t>기존</t>
        </is>
      </c>
      <c r="L9" s="17" t="inlineStr">
        <is>
          <t>v0.1</t>
        </is>
      </c>
      <c r="M9" s="18" t="inlineStr">
        <is>
          <t>"의료진 상담 필요" 처리 조건 · 문구 팀 논의</t>
        </is>
      </c>
      <c r="N9" s="45" t="inlineStr">
        <is>
          <t>MVP</t>
        </is>
      </c>
    </row>
    <row r="10">
      <c r="A10" s="20" t="inlineStr">
        <is>
          <t>REQ-075</t>
        </is>
      </c>
      <c r="B10" s="21" t="inlineStr">
        <is>
          <t>기능</t>
        </is>
      </c>
      <c r="C10" s="22" t="inlineStr">
        <is>
          <t>챗봇</t>
        </is>
      </c>
      <c r="D10" s="22" t="inlineStr">
        <is>
          <t>분석 결과 맥락으로 대화 시작</t>
        </is>
      </c>
      <c r="E10" s="22" t="inlineStr">
        <is>
          <t>사용자가 경고 · 약 화면에서 챗봇으로 넘어가면, 챗봇은 해당 분석 결과와 질문 대상(경고 · 약)을 알고 대화를 시작하고 이를 화면에 표시해야 한다.</t>
        </is>
      </c>
      <c r="F10" s="21" t="inlineStr">
        <is>
          <t>High</t>
        </is>
      </c>
      <c r="G10" s="22" t="inlineStr">
        <is>
          <t>CB-01-E2</t>
        </is>
      </c>
      <c r="H10" s="22" t="inlineStr">
        <is>
          <t>H-1</t>
        </is>
      </c>
      <c r="I10" s="21" t="inlineStr">
        <is>
          <t>수인</t>
        </is>
      </c>
      <c r="J10" s="23" t="inlineStr">
        <is>
          <t>확정</t>
        </is>
      </c>
      <c r="K10" s="21" t="inlineStr">
        <is>
          <t>신규</t>
        </is>
      </c>
      <c r="L10" s="21" t="inlineStr">
        <is>
          <t>v1.0</t>
        </is>
      </c>
      <c r="M10" s="22" t="inlineStr">
        <is>
          <t>와이어프레임에서 추가 (REQ-072 연계)</t>
        </is>
      </c>
      <c r="N10" s="46" t="inlineStr">
        <is>
          <t>MVP</t>
        </is>
      </c>
    </row>
    <row r="11">
      <c r="A11" s="20" t="inlineStr">
        <is>
          <t>REQ-076</t>
        </is>
      </c>
      <c r="B11" s="21" t="inlineStr">
        <is>
          <t>기능</t>
        </is>
      </c>
      <c r="C11" s="22" t="inlineStr">
        <is>
          <t>챗봇</t>
        </is>
      </c>
      <c r="D11" s="22" t="inlineStr">
        <is>
          <t>추천 질문</t>
        </is>
      </c>
      <c r="E11" s="22" t="inlineStr">
        <is>
          <t>시스템은 대화 기록이 없을 때 추천 질문을 보여주고, 누르면 그 질문으로 대화를 시작해야 한다.</t>
        </is>
      </c>
      <c r="F11" s="21" t="inlineStr">
        <is>
          <t>Low</t>
        </is>
      </c>
      <c r="G11" s="22" t="inlineStr">
        <is>
          <t>CB-01-E1</t>
        </is>
      </c>
      <c r="H11" s="22" t="inlineStr">
        <is>
          <t>H-1</t>
        </is>
      </c>
      <c r="I11" s="21" t="inlineStr">
        <is>
          <t>수인</t>
        </is>
      </c>
      <c r="J11" s="24" t="inlineStr">
        <is>
          <t>팀 확인 필요</t>
        </is>
      </c>
      <c r="K11" s="21" t="inlineStr">
        <is>
          <t>신규</t>
        </is>
      </c>
      <c r="L11" s="21" t="inlineStr">
        <is>
          <t>v1.0</t>
        </is>
      </c>
      <c r="M11" s="22" t="inlineStr">
        <is>
          <t>추천 질문 문구 확정 필요</t>
        </is>
      </c>
      <c r="N11" s="48" t="inlineStr">
        <is>
          <t>후순위</t>
        </is>
      </c>
    </row>
    <row r="12">
      <c r="A12" s="20" t="inlineStr">
        <is>
          <t>REQ-077</t>
        </is>
      </c>
      <c r="B12" s="21" t="inlineStr">
        <is>
          <t>기능</t>
        </is>
      </c>
      <c r="C12" s="22" t="inlineStr">
        <is>
          <t>챗봇</t>
        </is>
      </c>
      <c r="D12" s="22" t="inlineStr">
        <is>
          <t>대화 기록 달력 · 목록</t>
        </is>
      </c>
      <c r="E12" s="22" t="inlineStr">
        <is>
          <t>사용자는 날짜별로 지난 대화를 찾아보고, 대화 제목을 수정 · 공유 · 내보낼 수 있어야 한다. 공유 시 건강 정보가 함께 전달된다는 경고를 표시한다.</t>
        </is>
      </c>
      <c r="F12" s="21" t="inlineStr">
        <is>
          <t>Low</t>
        </is>
      </c>
      <c r="G12" s="22" t="inlineStr">
        <is>
          <t>CB-02 · CB-03</t>
        </is>
      </c>
      <c r="H12" s="22" t="inlineStr">
        <is>
          <t>추가 필요</t>
        </is>
      </c>
      <c r="I12" s="21" t="inlineStr">
        <is>
          <t>수인</t>
        </is>
      </c>
      <c r="J12" s="29" t="inlineStr">
        <is>
          <t>선택 구현</t>
        </is>
      </c>
      <c r="K12" s="21" t="inlineStr">
        <is>
          <t>신규</t>
        </is>
      </c>
      <c r="L12" s="21" t="inlineStr">
        <is>
          <t>v1.0</t>
        </is>
      </c>
      <c r="M12" s="22" t="inlineStr">
        <is>
          <t>날짜별 여러 대화 구조로 바꿀지 팀 확정 필요 (API · ERD 영향)</t>
        </is>
      </c>
      <c r="N12" s="48" t="inlineStr">
        <is>
          <t>후순위</t>
        </is>
      </c>
    </row>
    <row r="13">
      <c r="A13" s="20" t="inlineStr">
        <is>
          <t>REQ-078</t>
        </is>
      </c>
      <c r="B13" s="21" t="inlineStr">
        <is>
          <t>기능</t>
        </is>
      </c>
      <c r="C13" s="22" t="inlineStr">
        <is>
          <t>챗봇</t>
        </is>
      </c>
      <c r="D13" s="22" t="inlineStr">
        <is>
          <t>음성 질문 입력</t>
        </is>
      </c>
      <c r="E13" s="22" t="inlineStr">
        <is>
          <t>사용자는 말로 질문을 입력할 수 있어야 하며, 인식에 실패하면 다시 말하기 또는 글자 입력을 선택할 수 있다.</t>
        </is>
      </c>
      <c r="F13" s="21" t="inlineStr">
        <is>
          <t>Low</t>
        </is>
      </c>
      <c r="G13" s="22" t="inlineStr">
        <is>
          <t>CB-05 · CB-05-E1</t>
        </is>
      </c>
      <c r="H13" s="22" t="inlineStr">
        <is>
          <t>—</t>
        </is>
      </c>
      <c r="I13" s="21" t="inlineStr">
        <is>
          <t>수인</t>
        </is>
      </c>
      <c r="J13" s="29" t="inlineStr">
        <is>
          <t>선택 구현</t>
        </is>
      </c>
      <c r="K13" s="21" t="inlineStr">
        <is>
          <t>신규</t>
        </is>
      </c>
      <c r="L13" s="21" t="inlineStr">
        <is>
          <t>v1.0</t>
        </is>
      </c>
      <c r="M13" s="22" t="inlineStr">
        <is>
          <t>REQ-100(안내문 읽어주기)와 별개</t>
        </is>
      </c>
      <c r="N13" s="48" t="inlineStr">
        <is>
          <t>후순위</t>
        </is>
      </c>
    </row>
    <row r="14">
      <c r="A14" s="20" t="inlineStr">
        <is>
          <t>REQ-079</t>
        </is>
      </c>
      <c r="B14" s="21" t="inlineStr">
        <is>
          <t>기능</t>
        </is>
      </c>
      <c r="C14" s="22" t="inlineStr">
        <is>
          <t>챗봇</t>
        </is>
      </c>
      <c r="D14" s="22" t="inlineStr">
        <is>
          <t>사진 · 파일 첨부</t>
        </is>
      </c>
      <c r="E14" s="22" t="inlineStr">
        <is>
          <t>사용자는 대화 중 사진 · 파일을 첨부할 수 있어야 한다. 처방전 · 약봉투는 촬영 · 업로드 화면에서 올리도록 안내한다.</t>
        </is>
      </c>
      <c r="F14" s="21" t="inlineStr">
        <is>
          <t>Low</t>
        </is>
      </c>
      <c r="G14" s="22" t="inlineStr">
        <is>
          <t>CB-04</t>
        </is>
      </c>
      <c r="H14" s="22" t="inlineStr">
        <is>
          <t>미정</t>
        </is>
      </c>
      <c r="I14" s="21" t="inlineStr">
        <is>
          <t>수인</t>
        </is>
      </c>
      <c r="J14" s="29" t="inlineStr">
        <is>
          <t>선택 구현</t>
        </is>
      </c>
      <c r="K14" s="21" t="inlineStr">
        <is>
          <t>신규</t>
        </is>
      </c>
      <c r="L14" s="21" t="inlineStr">
        <is>
          <t>v1.0</t>
        </is>
      </c>
      <c r="M14" s="22" t="inlineStr">
        <is>
          <t>구현 여부 미정 (스트레치)</t>
        </is>
      </c>
      <c r="N14" s="48" t="inlineStr">
        <is>
          <t>후순위</t>
        </is>
      </c>
    </row>
  </sheetData>
  <autoFilter ref="A4:N14"/>
  <dataValidations count="5">
    <dataValidation sqref="F5:F64" showDropDown="0" showInputMessage="0" showErrorMessage="0" allowBlank="1" type="list">
      <formula1>"High,Medium,Low"</formula1>
    </dataValidation>
    <dataValidation sqref="J5:J64" showDropDown="0" showInputMessage="0" showErrorMessage="0" allowBlank="1" type="list">
      <formula1>"확정,팀 확인 필요,선택 구현,보류"</formula1>
    </dataValidation>
    <dataValidation sqref="K5:K64" showDropDown="0" showInputMessage="0" showErrorMessage="0" allowBlank="1" type="list">
      <formula1>"기존,수정,신규"</formula1>
    </dataValidation>
    <dataValidation sqref="I5:I64" showDropDown="0" showInputMessage="0" showErrorMessage="0" allowBlank="1" type="list">
      <formula1>"형준,채연,수인,성규,공통"</formula1>
    </dataValidation>
    <dataValidation sqref="N5:N64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v1.4 · 실천·보상</t>
        </is>
      </c>
    </row>
    <row r="2">
      <c r="A2" s="2" t="inlineStr">
        <is>
          <t>성규 · 추천 · 목표 · 실천 기록 · 포인트 · 관련 화면 RW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 (제안)</t>
        </is>
      </c>
    </row>
    <row r="5">
      <c r="A5" s="20" t="inlineStr">
        <is>
          <t>REQ-110</t>
        </is>
      </c>
      <c r="B5" s="21" t="inlineStr">
        <is>
          <t>기능</t>
        </is>
      </c>
      <c r="C5" s="22" t="inlineStr">
        <is>
          <t>실천·보상</t>
        </is>
      </c>
      <c r="D5" s="22" t="inlineStr">
        <is>
          <t>생활습관 추천 결과</t>
        </is>
      </c>
      <c r="E5" s="22" t="inlineStr">
        <is>
          <t>시스템은 분석 결과의 질환 · 복용 약을 기준으로 생활습관 팩트 테이블에서 실천 목표를 최대 3개 추천하고, 추천 이유(질환 · 약)를 라벨로 표시해야 한다.</t>
        </is>
      </c>
      <c r="F5" s="21" t="inlineStr">
        <is>
          <t>High</t>
        </is>
      </c>
      <c r="G5" s="22" t="inlineStr">
        <is>
          <t>RG-05</t>
        </is>
      </c>
      <c r="H5" s="22" t="inlineStr">
        <is>
          <t>GET /recommendations</t>
        </is>
      </c>
      <c r="I5" s="21" t="inlineStr">
        <is>
          <t>성규</t>
        </is>
      </c>
      <c r="J5" s="24" t="inlineStr">
        <is>
          <t>팀 확인 필요</t>
        </is>
      </c>
      <c r="K5" s="21" t="inlineStr">
        <is>
          <t>신규</t>
        </is>
      </c>
      <c r="L5" s="21" t="inlineStr">
        <is>
          <t>v1.4</t>
        </is>
      </c>
      <c r="M5" s="22" t="inlineStr">
        <is>
          <t>RW-01 제외 확정 (2026-09-28, 한성규) — RG-05 [이 목표로 실천 시작하기]에서 RW-02로 바로 연결. 원 REQ-HABIT-001</t>
        </is>
      </c>
      <c r="N5" s="46" t="inlineStr">
        <is>
          <t>MVP</t>
        </is>
      </c>
    </row>
    <row r="6">
      <c r="A6" s="20" t="inlineStr">
        <is>
          <t>REQ-111</t>
        </is>
      </c>
      <c r="B6" s="21" t="inlineStr">
        <is>
          <t>기능</t>
        </is>
      </c>
      <c r="C6" s="22" t="inlineStr">
        <is>
          <t>실천·보상</t>
        </is>
      </c>
      <c r="D6" s="22" t="inlineStr">
        <is>
          <t>실천 목표 선택</t>
        </is>
      </c>
      <c r="E6" s="22" t="inlineStr">
        <is>
          <t>사용자는 추천 중 최대 3개를 이번 주 실천 목표로 직접 선택할 수 있어야 한다. 0개면 시작할 수 없다.</t>
        </is>
      </c>
      <c r="F6" s="21" t="inlineStr">
        <is>
          <t>High</t>
        </is>
      </c>
      <c r="G6" s="22" t="inlineStr">
        <is>
          <t>RW-02</t>
        </is>
      </c>
      <c r="H6" s="22" t="inlineStr">
        <is>
          <t>POST /habit-goals</t>
        </is>
      </c>
      <c r="I6" s="21" t="inlineStr">
        <is>
          <t>성규</t>
        </is>
      </c>
      <c r="J6" s="23" t="inlineStr">
        <is>
          <t>확정</t>
        </is>
      </c>
      <c r="K6" s="21" t="inlineStr">
        <is>
          <t>신규</t>
        </is>
      </c>
      <c r="L6" s="21" t="inlineStr">
        <is>
          <t>v1.0</t>
        </is>
      </c>
      <c r="M6" s="22" t="inlineStr">
        <is>
          <t>원 REQ-HABIT-002</t>
        </is>
      </c>
      <c r="N6" s="46" t="inlineStr">
        <is>
          <t>MVP</t>
        </is>
      </c>
    </row>
    <row r="7">
      <c r="A7" s="20" t="inlineStr">
        <is>
          <t>REQ-112</t>
        </is>
      </c>
      <c r="B7" s="21" t="inlineStr">
        <is>
          <t>기능</t>
        </is>
      </c>
      <c r="C7" s="22" t="inlineStr">
        <is>
          <t>실천·보상</t>
        </is>
      </c>
      <c r="D7" s="22" t="inlineStr">
        <is>
          <t>오늘의 실천 기록</t>
        </is>
      </c>
      <c r="E7" s="22" t="inlineStr">
        <is>
          <t>사용자는 오늘의 목표를 체크형(완료) 또는 수량형(걷기 분 등)으로 기록할 수 있어야 한다. 같은 날 같은 목표의 중복 완료는 무시하고, 목표가 없으면 분석을 안내한다.</t>
        </is>
      </c>
      <c r="F7" s="21" t="inlineStr">
        <is>
          <t>High</t>
        </is>
      </c>
      <c r="G7" s="22" t="inlineStr">
        <is>
          <t>RW-03 · RW-03-E2 · RW-04</t>
        </is>
      </c>
      <c r="H7" s="22" t="inlineStr">
        <is>
          <t>GET /habit-goals/today · POST /habit-goals/{id}/records</t>
        </is>
      </c>
      <c r="I7" s="21" t="inlineStr">
        <is>
          <t>성규</t>
        </is>
      </c>
      <c r="J7" s="23" t="inlineStr">
        <is>
          <t>확정</t>
        </is>
      </c>
      <c r="K7" s="21" t="inlineStr">
        <is>
          <t>신규</t>
        </is>
      </c>
      <c r="L7" s="21" t="inlineStr">
        <is>
          <t>v1.3</t>
        </is>
      </c>
      <c r="M7" s="22" t="inlineStr">
        <is>
          <t>RW-03 · RW-04 · RW-05를 한 화면의 상태(미실천 · 일부 완료 · 전체 완료)로 합치는 안 (v1.3 · 성규 확인). 원 REQ-HABIT-003 · 004</t>
        </is>
      </c>
      <c r="N7" s="46" t="inlineStr">
        <is>
          <t>MVP</t>
        </is>
      </c>
    </row>
    <row r="8">
      <c r="A8" s="20" t="inlineStr">
        <is>
          <t>REQ-113</t>
        </is>
      </c>
      <c r="B8" s="21" t="inlineStr">
        <is>
          <t>기능</t>
        </is>
      </c>
      <c r="C8" s="22" t="inlineStr">
        <is>
          <t>실천·보상</t>
        </is>
      </c>
      <c r="D8" s="22" t="inlineStr">
        <is>
          <t>포인트 지급</t>
        </is>
      </c>
      <c r="E8" s="22" t="inlineStr">
        <is>
          <t>시스템은 목표 완료 시 포인트를 지급하고, 하루 목표를 모두 완료하면 추가 포인트를 지급하되 같은 날 중복 지급하지 않아야 한다.</t>
        </is>
      </c>
      <c r="F8" s="21" t="inlineStr">
        <is>
          <t>High</t>
        </is>
      </c>
      <c r="G8" s="22" t="inlineStr">
        <is>
          <t>RW-04 · RW-05</t>
        </is>
      </c>
      <c r="H8" s="22" t="inlineStr">
        <is>
          <t>POST /habit-goals/{id}/records · GET /rewards/summary</t>
        </is>
      </c>
      <c r="I8" s="21" t="inlineStr">
        <is>
          <t>성규</t>
        </is>
      </c>
      <c r="J8" s="23" t="inlineStr">
        <is>
          <t>확정</t>
        </is>
      </c>
      <c r="K8" s="21" t="inlineStr">
        <is>
          <t>신규</t>
        </is>
      </c>
      <c r="L8" s="21" t="inlineStr">
        <is>
          <t>v1.0</t>
        </is>
      </c>
      <c r="M8" s="22" t="inlineStr">
        <is>
          <t>원 REQ-REWARD-001 · 002</t>
        </is>
      </c>
      <c r="N8" s="48" t="inlineStr">
        <is>
          <t>후순위</t>
        </is>
      </c>
    </row>
    <row r="9">
      <c r="A9" s="20" t="inlineStr">
        <is>
          <t>REQ-114</t>
        </is>
      </c>
      <c r="B9" s="21" t="inlineStr">
        <is>
          <t>기능</t>
        </is>
      </c>
      <c r="C9" s="22" t="inlineStr">
        <is>
          <t>실천·보상</t>
        </is>
      </c>
      <c r="D9" s="22" t="inlineStr">
        <is>
          <t>달성 현황</t>
        </is>
      </c>
      <c r="E9" s="22" t="inlineStr">
        <is>
          <t>사용자는 이번 주 요일별 실천 여부, 달성률, 연속 실천일, 이번 주 · 누적 포인트를 확인할 수 있어야 한다. 기록이 없으면 다음 할 일을 안내한다.</t>
        </is>
      </c>
      <c r="F9" s="21" t="inlineStr">
        <is>
          <t>Medium</t>
        </is>
      </c>
      <c r="G9" s="22" t="inlineStr">
        <is>
          <t>RW-06 · RW-06-E1</t>
        </is>
      </c>
      <c r="H9" s="22" t="inlineStr">
        <is>
          <t>GET /habit-goals/history · GET /rewards/summary</t>
        </is>
      </c>
      <c r="I9" s="21" t="inlineStr">
        <is>
          <t>성규</t>
        </is>
      </c>
      <c r="J9" s="23" t="inlineStr">
        <is>
          <t>확정</t>
        </is>
      </c>
      <c r="K9" s="21" t="inlineStr">
        <is>
          <t>신규</t>
        </is>
      </c>
      <c r="L9" s="21" t="inlineStr">
        <is>
          <t>v1.0</t>
        </is>
      </c>
      <c r="M9" s="22" t="inlineStr">
        <is>
          <t>원 REQ-HABIT-005 · REWARD-003</t>
        </is>
      </c>
      <c r="N9" s="48" t="inlineStr">
        <is>
          <t>후순위</t>
        </is>
      </c>
    </row>
    <row r="10">
      <c r="A10" s="20" t="inlineStr">
        <is>
          <t>REQ-115</t>
        </is>
      </c>
      <c r="B10" s="21" t="inlineStr">
        <is>
          <t>기능</t>
        </is>
      </c>
      <c r="C10" s="22" t="inlineStr">
        <is>
          <t>실천·보상</t>
        </is>
      </c>
      <c r="D10" s="22" t="inlineStr">
        <is>
          <t>기록 저장 실패 재시도</t>
        </is>
      </c>
      <c r="E10" s="22" t="inlineStr">
        <is>
          <t>시스템은 실천 기록 저장에 실패하면 화면 안 배너로 알리고 같은 요청을 다시 시도할 수 있게 해야 한다.</t>
        </is>
      </c>
      <c r="F10" s="21" t="inlineStr">
        <is>
          <t>Medium</t>
        </is>
      </c>
      <c r="G10" s="22" t="inlineStr">
        <is>
          <t>RW-03-E1</t>
        </is>
      </c>
      <c r="H10" s="22" t="inlineStr">
        <is>
          <t>POST /habit-goals/{id}/records</t>
        </is>
      </c>
      <c r="I10" s="21" t="inlineStr">
        <is>
          <t>성규</t>
        </is>
      </c>
      <c r="J10" s="23" t="inlineStr">
        <is>
          <t>확정</t>
        </is>
      </c>
      <c r="K10" s="21" t="inlineStr">
        <is>
          <t>신규</t>
        </is>
      </c>
      <c r="L10" s="21" t="inlineStr">
        <is>
          <t>v1.0</t>
        </is>
      </c>
      <c r="M10" s="22" t="inlineStr">
        <is>
          <t>신규</t>
        </is>
      </c>
      <c r="N10" s="46" t="inlineStr">
        <is>
          <t>MVP</t>
        </is>
      </c>
    </row>
    <row r="11">
      <c r="A11" s="20" t="inlineStr">
        <is>
          <t>REQ-116</t>
        </is>
      </c>
      <c r="B11" s="21" t="inlineStr">
        <is>
          <t>기능</t>
        </is>
      </c>
      <c r="C11" s="22" t="inlineStr">
        <is>
          <t>실천·보상</t>
        </is>
      </c>
      <c r="D11" s="22" t="inlineStr">
        <is>
          <t>주간 목표 다시 고르기</t>
        </is>
      </c>
      <c r="E11" s="22" t="inlineStr">
        <is>
          <t>사용자는 한 주가 끝나면 목표를 이어가거나 다시 고를 수 있어야 한다.</t>
        </is>
      </c>
      <c r="F11" s="21" t="inlineStr">
        <is>
          <t>Medium</t>
        </is>
      </c>
      <c r="G11" s="22" t="inlineStr">
        <is>
          <t>RW-02</t>
        </is>
      </c>
      <c r="H11" s="22" t="inlineStr">
        <is>
          <t>POST /habit-goals</t>
        </is>
      </c>
      <c r="I11" s="21" t="inlineStr">
        <is>
          <t>성규</t>
        </is>
      </c>
      <c r="J11" s="24" t="inlineStr">
        <is>
          <t>팀 확인 필요</t>
        </is>
      </c>
      <c r="K11" s="21" t="inlineStr">
        <is>
          <t>신규</t>
        </is>
      </c>
      <c r="L11" s="21" t="inlineStr">
        <is>
          <t>v1.0</t>
        </is>
      </c>
      <c r="M11" s="22" t="inlineStr">
        <is>
          <t>흐름 미정</t>
        </is>
      </c>
      <c r="N11" s="48" t="inlineStr">
        <is>
          <t>후순위</t>
        </is>
      </c>
    </row>
    <row r="12">
      <c r="A12" s="20" t="inlineStr">
        <is>
          <t>REQ-117</t>
        </is>
      </c>
      <c r="B12" s="21" t="inlineStr">
        <is>
          <t>기능</t>
        </is>
      </c>
      <c r="C12" s="22" t="inlineStr">
        <is>
          <t>실천·보상</t>
        </is>
      </c>
      <c r="D12" s="22" t="inlineStr">
        <is>
          <t>실천 기록 검증</t>
        </is>
      </c>
      <c r="E12" s="22" t="inlineStr">
        <is>
          <t>시스템은 몰아서 체크하는 등 비정상 기록 패턴을 감지해 표시할 수 있어야 한다.</t>
        </is>
      </c>
      <c r="F12" s="21" t="inlineStr">
        <is>
          <t>Low</t>
        </is>
      </c>
      <c r="G12" s="22" t="inlineStr">
        <is>
          <t>RW-03</t>
        </is>
      </c>
      <c r="H12" s="22" t="inlineStr">
        <is>
          <t>—</t>
        </is>
      </c>
      <c r="I12" s="21" t="inlineStr">
        <is>
          <t>성규</t>
        </is>
      </c>
      <c r="J12" s="24" t="inlineStr">
        <is>
          <t>팀 확인 필요</t>
        </is>
      </c>
      <c r="K12" s="21" t="inlineStr">
        <is>
          <t>신규</t>
        </is>
      </c>
      <c r="L12" s="21" t="inlineStr">
        <is>
          <t>v1.0</t>
        </is>
      </c>
      <c r="M12" s="22" t="inlineStr">
        <is>
          <t>기술 깊이 확보용 · 팀 논의</t>
        </is>
      </c>
      <c r="N12" s="48" t="inlineStr">
        <is>
          <t>후순위</t>
        </is>
      </c>
    </row>
  </sheetData>
  <autoFilter ref="A4:N12"/>
  <dataValidations count="5">
    <dataValidation sqref="F5:F62" showDropDown="0" showInputMessage="0" showErrorMessage="0" allowBlank="1" type="list">
      <formula1>"High,Medium,Low"</formula1>
    </dataValidation>
    <dataValidation sqref="J5:J62" showDropDown="0" showInputMessage="0" showErrorMessage="0" allowBlank="1" type="list">
      <formula1>"확정,팀 확인 필요,선택 구현,보류"</formula1>
    </dataValidation>
    <dataValidation sqref="K5:K62" showDropDown="0" showInputMessage="0" showErrorMessage="0" allowBlank="1" type="list">
      <formula1>"기존,수정,신규"</formula1>
    </dataValidation>
    <dataValidation sqref="I5:I62" showDropDown="0" showInputMessage="0" showErrorMessage="0" allowBlank="1" type="list">
      <formula1>"형준,채연,수인,성규,공통"</formula1>
    </dataValidation>
    <dataValidation sqref="N5:N62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v1.4 · 비기능</t>
        </is>
      </c>
    </row>
    <row r="2">
      <c r="A2" s="2" t="inlineStr">
        <is>
          <t>공통 · 성능 · 보안 · 사용성 · 품질 · 운영 · 확장성 · 관련 화면 전 화면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 (제안)</t>
        </is>
      </c>
    </row>
    <row r="5">
      <c r="A5" s="16" t="inlineStr">
        <is>
          <t>NFR-001</t>
        </is>
      </c>
      <c r="B5" s="17" t="inlineStr">
        <is>
          <t>비기능</t>
        </is>
      </c>
      <c r="C5" s="18" t="inlineStr">
        <is>
          <t>성능</t>
        </is>
      </c>
      <c r="D5" s="18" t="inlineStr">
        <is>
          <t>API 응답 시간</t>
        </is>
      </c>
      <c r="E5" s="18" t="inlineStr">
        <is>
          <t>전체 API의 P95 Latency는 3초 이내여야 한다.</t>
        </is>
      </c>
      <c r="F5" s="17" t="inlineStr">
        <is>
          <t>High</t>
        </is>
      </c>
      <c r="G5" s="18" t="inlineStr">
        <is>
          <t>—</t>
        </is>
      </c>
      <c r="H5" s="18" t="inlineStr">
        <is>
          <t>전체</t>
        </is>
      </c>
      <c r="I5" s="17" t="inlineStr">
        <is>
          <t>성규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v0.1</t>
        </is>
      </c>
      <c r="M5" s="18" t="inlineStr">
        <is>
          <t>참여기업 평가 기준</t>
        </is>
      </c>
      <c r="N5" s="45" t="inlineStr">
        <is>
          <t>MVP</t>
        </is>
      </c>
    </row>
    <row r="6">
      <c r="A6" s="12" t="inlineStr">
        <is>
          <t>NFR-002</t>
        </is>
      </c>
      <c r="B6" s="13" t="inlineStr">
        <is>
          <t>비기능</t>
        </is>
      </c>
      <c r="C6" s="14" t="inlineStr">
        <is>
          <t>성능</t>
        </is>
      </c>
      <c r="D6" s="14" t="inlineStr">
        <is>
          <t>비동기 처리</t>
        </is>
      </c>
      <c r="E6" s="14" t="inlineStr">
        <is>
          <t>안내문 생성 · OCR 요청은 즉시 작업 ID를 반환하고 결과는 폴링으로 조회한다.</t>
        </is>
      </c>
      <c r="F6" s="13" t="inlineStr">
        <is>
          <t>High</t>
        </is>
      </c>
      <c r="G6" s="14" t="inlineStr">
        <is>
          <t>RG-01 · OC-01</t>
        </is>
      </c>
      <c r="H6" s="14" t="inlineStr">
        <is>
          <t>R-1 · R-2 · O-1 · O-5</t>
        </is>
      </c>
      <c r="I6" s="13" t="inlineStr">
        <is>
          <t>형준</t>
        </is>
      </c>
      <c r="J6" s="15" t="inlineStr">
        <is>
          <t>확정</t>
        </is>
      </c>
      <c r="K6" s="13" t="inlineStr">
        <is>
          <t>수정</t>
        </is>
      </c>
      <c r="L6" s="13" t="inlineStr">
        <is>
          <t>v1.3</t>
        </is>
      </c>
      <c r="M6" s="14" t="inlineStr">
        <is>
          <t>NFR-001 충족 수단</t>
        </is>
      </c>
      <c r="N6" s="44" t="inlineStr">
        <is>
          <t>MVP</t>
        </is>
      </c>
    </row>
    <row r="7">
      <c r="A7" s="16" t="inlineStr">
        <is>
          <t>NFR-003</t>
        </is>
      </c>
      <c r="B7" s="17" t="inlineStr">
        <is>
          <t>비기능</t>
        </is>
      </c>
      <c r="C7" s="18" t="inlineStr">
        <is>
          <t>성능</t>
        </is>
      </c>
      <c r="D7" s="18" t="inlineStr">
        <is>
          <t>안전성 점검 응답</t>
        </is>
      </c>
      <c r="E7" s="18" t="inlineStr">
        <is>
          <t>병용금기 등 DB 조회 기반 점검은 1초 이내에 완료되어야 한다.</t>
        </is>
      </c>
      <c r="F7" s="17" t="inlineStr">
        <is>
          <t>High</t>
        </is>
      </c>
      <c r="G7" s="18" t="inlineStr">
        <is>
          <t>RG-02</t>
        </is>
      </c>
      <c r="H7" s="18" t="inlineStr">
        <is>
          <t>R-4</t>
        </is>
      </c>
      <c r="I7" s="17" t="inlineStr">
        <is>
          <t>형준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v0.1</t>
        </is>
      </c>
      <c r="M7" s="18" t="inlineStr">
        <is>
          <t>관계형 조회</t>
        </is>
      </c>
      <c r="N7" s="45" t="inlineStr">
        <is>
          <t>MVP</t>
        </is>
      </c>
    </row>
    <row r="8">
      <c r="A8" s="16" t="inlineStr">
        <is>
          <t>NFR-004</t>
        </is>
      </c>
      <c r="B8" s="17" t="inlineStr">
        <is>
          <t>비기능</t>
        </is>
      </c>
      <c r="C8" s="18" t="inlineStr">
        <is>
          <t>성능</t>
        </is>
      </c>
      <c r="D8" s="18" t="inlineStr">
        <is>
          <t>동시 사용자</t>
        </is>
      </c>
      <c r="E8" s="18" t="inlineStr">
        <is>
          <t>시스템은 동시 접속 30명 환경에서 정상 동작해야 한다.</t>
        </is>
      </c>
      <c r="F8" s="17" t="inlineStr">
        <is>
          <t>Low</t>
        </is>
      </c>
      <c r="G8" s="18" t="inlineStr">
        <is>
          <t>—</t>
        </is>
      </c>
      <c r="H8" s="18" t="inlineStr">
        <is>
          <t>전체</t>
        </is>
      </c>
      <c r="I8" s="17" t="inlineStr">
        <is>
          <t>성규</t>
        </is>
      </c>
      <c r="J8" s="19" t="inlineStr">
        <is>
          <t>확정</t>
        </is>
      </c>
      <c r="K8" s="17" t="inlineStr">
        <is>
          <t>수정</t>
        </is>
      </c>
      <c r="L8" s="17" t="inlineStr">
        <is>
          <t>v1.2</t>
        </is>
      </c>
      <c r="M8" s="18" t="inlineStr">
        <is>
          <t>데모데이 대비 · 우선순위 조정: 일반 구현</t>
        </is>
      </c>
      <c r="N8" s="45" t="inlineStr">
        <is>
          <t>MVP</t>
        </is>
      </c>
    </row>
    <row r="9">
      <c r="A9" s="16" t="inlineStr">
        <is>
          <t>NFR-005</t>
        </is>
      </c>
      <c r="B9" s="17" t="inlineStr">
        <is>
          <t>비기능</t>
        </is>
      </c>
      <c r="C9" s="18" t="inlineStr">
        <is>
          <t>성능</t>
        </is>
      </c>
      <c r="D9" s="18" t="inlineStr">
        <is>
          <t>캐싱</t>
        </is>
      </c>
      <c r="E9" s="18" t="inlineStr">
        <is>
          <t>동일 약품에 대한 조회 결과는 캐싱하여 중복 API 호출을 방지한다. 단 개인 맞춤 안내문은 캐싱하지 않는다.</t>
        </is>
      </c>
      <c r="F9" s="17" t="inlineStr">
        <is>
          <t>Low</t>
        </is>
      </c>
      <c r="G9" s="18" t="inlineStr">
        <is>
          <t>—</t>
        </is>
      </c>
      <c r="H9" s="18" t="inlineStr">
        <is>
          <t>전체</t>
        </is>
      </c>
      <c r="I9" s="17" t="inlineStr">
        <is>
          <t>형준</t>
        </is>
      </c>
      <c r="J9" s="19" t="inlineStr">
        <is>
          <t>확정</t>
        </is>
      </c>
      <c r="K9" s="17" t="inlineStr">
        <is>
          <t>수정</t>
        </is>
      </c>
      <c r="L9" s="17" t="inlineStr">
        <is>
          <t>v1.2</t>
        </is>
      </c>
      <c r="M9" s="18" t="inlineStr">
        <is>
          <t>우선순위 조정: 일반 구현</t>
        </is>
      </c>
      <c r="N9" s="45" t="inlineStr">
        <is>
          <t>MVP</t>
        </is>
      </c>
    </row>
    <row r="10">
      <c r="A10" s="16" t="inlineStr">
        <is>
          <t>NFR-010</t>
        </is>
      </c>
      <c r="B10" s="17" t="inlineStr">
        <is>
          <t>비기능</t>
        </is>
      </c>
      <c r="C10" s="18" t="inlineStr">
        <is>
          <t>보안</t>
        </is>
      </c>
      <c r="D10" s="18" t="inlineStr">
        <is>
          <t>인증·인가</t>
        </is>
      </c>
      <c r="E10" s="18" t="inlineStr">
        <is>
          <t>시스템은 JWT 기반 인증을 적용하고 본인의 진료기록만 조회할 수 있어야 한다.</t>
        </is>
      </c>
      <c r="F10" s="17" t="inlineStr">
        <is>
          <t>Medium</t>
        </is>
      </c>
      <c r="G10" s="18" t="inlineStr">
        <is>
          <t>—</t>
        </is>
      </c>
      <c r="H10" s="18" t="inlineStr">
        <is>
          <t>전체</t>
        </is>
      </c>
      <c r="I10" s="17" t="inlineStr">
        <is>
          <t>성규</t>
        </is>
      </c>
      <c r="J10" s="19" t="inlineStr">
        <is>
          <t>확정</t>
        </is>
      </c>
      <c r="K10" s="17" t="inlineStr">
        <is>
          <t>수정</t>
        </is>
      </c>
      <c r="L10" s="17" t="inlineStr">
        <is>
          <t>v1.2</t>
        </is>
      </c>
      <c r="M10" s="18" t="inlineStr">
        <is>
          <t>평가 기준 5-4 · 우선순위 조정: 보안 — 본인 데이터만 조회하는 기본만</t>
        </is>
      </c>
      <c r="N10" s="45" t="inlineStr">
        <is>
          <t>MVP</t>
        </is>
      </c>
    </row>
    <row r="11">
      <c r="A11" s="16" t="inlineStr">
        <is>
          <t>NFR-011</t>
        </is>
      </c>
      <c r="B11" s="17" t="inlineStr">
        <is>
          <t>비기능</t>
        </is>
      </c>
      <c r="C11" s="18" t="inlineStr">
        <is>
          <t>보안</t>
        </is>
      </c>
      <c r="D11" s="18" t="inlineStr">
        <is>
          <t>원본 이미지 미저장</t>
        </is>
      </c>
      <c r="E11" s="18" t="inlineStr">
        <is>
          <t>업로드된 원본 이미지는 OCR 처리 후 즉시 폐기하며 저장하지 않는다.</t>
        </is>
      </c>
      <c r="F11" s="17" t="inlineStr">
        <is>
          <t>Low</t>
        </is>
      </c>
      <c r="G11" s="18" t="inlineStr">
        <is>
          <t>OC-01 · CM-04</t>
        </is>
      </c>
      <c r="H11" s="18" t="inlineStr">
        <is>
          <t>O-1</t>
        </is>
      </c>
      <c r="I11" s="17" t="inlineStr">
        <is>
          <t>채연</t>
        </is>
      </c>
      <c r="J11" s="27" t="inlineStr">
        <is>
          <t>팀 확인 필요</t>
        </is>
      </c>
      <c r="K11" s="17" t="inlineStr">
        <is>
          <t>수정</t>
        </is>
      </c>
      <c r="L11" s="17" t="inlineStr">
        <is>
          <t>v1.2</t>
        </is>
      </c>
      <c r="M11" s="18" t="inlineStr">
        <is>
          <t>※ 멘토링 확인 필요. 원본을 저장하지 않으면 실패 기록은 다시 찍어야 함 (CM-04) · 우선순위 조정: 개인정보</t>
        </is>
      </c>
      <c r="N11" s="45" t="inlineStr">
        <is>
          <t>MVP</t>
        </is>
      </c>
    </row>
    <row r="12">
      <c r="A12" s="16" t="inlineStr">
        <is>
          <t>NFR-012</t>
        </is>
      </c>
      <c r="B12" s="17" t="inlineStr">
        <is>
          <t>비기능</t>
        </is>
      </c>
      <c r="C12" s="18" t="inlineStr">
        <is>
          <t>보안</t>
        </is>
      </c>
      <c r="D12" s="18" t="inlineStr">
        <is>
          <t>추출 정보 암호화</t>
        </is>
      </c>
      <c r="E12" s="18" t="inlineStr">
        <is>
          <t>추출된 진료 정보는 암호화하여 저장해야 한다.</t>
        </is>
      </c>
      <c r="F12" s="17" t="inlineStr">
        <is>
          <t>Low</t>
        </is>
      </c>
      <c r="G12" s="18" t="inlineStr">
        <is>
          <t>—</t>
        </is>
      </c>
      <c r="H12" s="18" t="inlineStr">
        <is>
          <t>전체</t>
        </is>
      </c>
      <c r="I12" s="17" t="inlineStr">
        <is>
          <t>성규</t>
        </is>
      </c>
      <c r="J12" s="19" t="inlineStr">
        <is>
          <t>확정</t>
        </is>
      </c>
      <c r="K12" s="17" t="inlineStr">
        <is>
          <t>수정</t>
        </is>
      </c>
      <c r="L12" s="17" t="inlineStr">
        <is>
          <t>v1.2</t>
        </is>
      </c>
      <c r="M12" s="18" t="inlineStr">
        <is>
          <t>우선순위 조정: 보안</t>
        </is>
      </c>
      <c r="N12" s="45" t="inlineStr">
        <is>
          <t>MVP</t>
        </is>
      </c>
    </row>
    <row r="13">
      <c r="A13" s="16" t="inlineStr">
        <is>
          <t>NFR-013</t>
        </is>
      </c>
      <c r="B13" s="17" t="inlineStr">
        <is>
          <t>비기능</t>
        </is>
      </c>
      <c r="C13" s="18" t="inlineStr">
        <is>
          <t>보안</t>
        </is>
      </c>
      <c r="D13" s="18" t="inlineStr">
        <is>
          <t>식별정보 마스킹</t>
        </is>
      </c>
      <c r="E13" s="18" t="inlineStr">
        <is>
          <t>성명 주민등록번호 등 식별정보는 저장 전 마스킹 처리한다.</t>
        </is>
      </c>
      <c r="F13" s="17" t="inlineStr">
        <is>
          <t>Low</t>
        </is>
      </c>
      <c r="G13" s="18" t="inlineStr">
        <is>
          <t>—</t>
        </is>
      </c>
      <c r="H13" s="18" t="inlineStr">
        <is>
          <t>O-1</t>
        </is>
      </c>
      <c r="I13" s="17" t="inlineStr">
        <is>
          <t>채연</t>
        </is>
      </c>
      <c r="J13" s="19" t="inlineStr">
        <is>
          <t>확정</t>
        </is>
      </c>
      <c r="K13" s="17" t="inlineStr">
        <is>
          <t>수정</t>
        </is>
      </c>
      <c r="L13" s="17" t="inlineStr">
        <is>
          <t>v1.2</t>
        </is>
      </c>
      <c r="M13" s="18" t="inlineStr">
        <is>
          <t>우선순위 조정: 개인정보</t>
        </is>
      </c>
      <c r="N13" s="45" t="inlineStr">
        <is>
          <t>MVP</t>
        </is>
      </c>
    </row>
    <row r="14">
      <c r="A14" s="16" t="inlineStr">
        <is>
          <t>NFR-014</t>
        </is>
      </c>
      <c r="B14" s="17" t="inlineStr">
        <is>
          <t>비기능</t>
        </is>
      </c>
      <c r="C14" s="18" t="inlineStr">
        <is>
          <t>보안</t>
        </is>
      </c>
      <c r="D14" s="18" t="inlineStr">
        <is>
          <t>통신 암호화</t>
        </is>
      </c>
      <c r="E14" s="18" t="inlineStr">
        <is>
          <t>모든 통신은 HTTPS로 암호화한다.</t>
        </is>
      </c>
      <c r="F14" s="17" t="inlineStr">
        <is>
          <t>Low</t>
        </is>
      </c>
      <c r="G14" s="18" t="inlineStr">
        <is>
          <t>—</t>
        </is>
      </c>
      <c r="H14" s="18" t="inlineStr">
        <is>
          <t>전체</t>
        </is>
      </c>
      <c r="I14" s="17" t="inlineStr">
        <is>
          <t>성규</t>
        </is>
      </c>
      <c r="J14" s="19" t="inlineStr">
        <is>
          <t>확정</t>
        </is>
      </c>
      <c r="K14" s="17" t="inlineStr">
        <is>
          <t>수정</t>
        </is>
      </c>
      <c r="L14" s="17" t="inlineStr">
        <is>
          <t>v1.2</t>
        </is>
      </c>
      <c r="M14" s="18" t="inlineStr">
        <is>
          <t>우선순위 조정: 보안 — 배포 환경 기본값 사용</t>
        </is>
      </c>
      <c r="N14" s="45" t="inlineStr">
        <is>
          <t>MVP</t>
        </is>
      </c>
    </row>
    <row r="15">
      <c r="A15" s="12" t="inlineStr">
        <is>
          <t>NFR-020</t>
        </is>
      </c>
      <c r="B15" s="13" t="inlineStr">
        <is>
          <t>비기능</t>
        </is>
      </c>
      <c r="C15" s="14" t="inlineStr">
        <is>
          <t>사용성</t>
        </is>
      </c>
      <c r="D15" s="14" t="inlineStr">
        <is>
          <t>모바일 우선 설계</t>
        </is>
      </c>
      <c r="E15" s="14" t="inlineStr">
        <is>
          <t>모든 화면은 모바일 폭 375px 기준으로 설계한다. 세로 길이는 내용에 따라 늘어난다.</t>
        </is>
      </c>
      <c r="F15" s="13" t="inlineStr">
        <is>
          <t>High</t>
        </is>
      </c>
      <c r="G15" s="14" t="inlineStr">
        <is>
          <t>전 화면</t>
        </is>
      </c>
      <c r="H15" s="14" t="inlineStr">
        <is>
          <t>—</t>
        </is>
      </c>
      <c r="I15" s="13" t="inlineStr">
        <is>
          <t>공통</t>
        </is>
      </c>
      <c r="J15" s="15" t="inlineStr">
        <is>
          <t>확정</t>
        </is>
      </c>
      <c r="K15" s="13" t="inlineStr">
        <is>
          <t>수정</t>
        </is>
      </c>
      <c r="L15" s="13" t="inlineStr">
        <is>
          <t>v1.0</t>
        </is>
      </c>
      <c r="M15" s="14" t="inlineStr">
        <is>
          <t>보류 해제 — 플랫폼 모바일 확정</t>
        </is>
      </c>
      <c r="N15" s="44" t="inlineStr">
        <is>
          <t>MVP</t>
        </is>
      </c>
    </row>
    <row r="16">
      <c r="A16" s="16" t="inlineStr">
        <is>
          <t>NFR-021</t>
        </is>
      </c>
      <c r="B16" s="17" t="inlineStr">
        <is>
          <t>비기능</t>
        </is>
      </c>
      <c r="C16" s="18" t="inlineStr">
        <is>
          <t>사용성</t>
        </is>
      </c>
      <c r="D16" s="18" t="inlineStr">
        <is>
          <t>접근 단계 제한</t>
        </is>
      </c>
      <c r="E16" s="18" t="inlineStr">
        <is>
          <t>주요 기능은 3~5회 이내의 액션으로 접근 가능해야 한다.</t>
        </is>
      </c>
      <c r="F16" s="17" t="inlineStr">
        <is>
          <t>High</t>
        </is>
      </c>
      <c r="G16" s="18" t="inlineStr">
        <is>
          <t>CM-03</t>
        </is>
      </c>
      <c r="H16" s="18" t="inlineStr">
        <is>
          <t>—</t>
        </is>
      </c>
      <c r="I16" s="17" t="inlineStr">
        <is>
          <t>공통</t>
        </is>
      </c>
      <c r="J16" s="19" t="inlineStr">
        <is>
          <t>확정</t>
        </is>
      </c>
      <c r="K16" s="17" t="inlineStr">
        <is>
          <t>기존</t>
        </is>
      </c>
      <c r="L16" s="17" t="inlineStr">
        <is>
          <t>v0.1</t>
        </is>
      </c>
      <c r="M16" s="18" t="inlineStr">
        <is>
          <t>참여기업 평가 기준 4-3</t>
        </is>
      </c>
      <c r="N16" s="45" t="inlineStr">
        <is>
          <t>MVP</t>
        </is>
      </c>
    </row>
    <row r="17">
      <c r="A17" s="12" t="inlineStr">
        <is>
          <t>NFR-022</t>
        </is>
      </c>
      <c r="B17" s="13" t="inlineStr">
        <is>
          <t>비기능</t>
        </is>
      </c>
      <c r="C17" s="14" t="inlineStr">
        <is>
          <t>사용성</t>
        </is>
      </c>
      <c r="D17" s="14" t="inlineStr">
        <is>
          <t>고령자 가독성</t>
        </is>
      </c>
      <c r="E17" s="14" t="inlineStr">
        <is>
          <t>본문 글자 크기는 16px 이상(가장 작은 글자도 13px 이상), 글자와 배경의 명도 대비는 4.5:1 이상을 유지한다.</t>
        </is>
      </c>
      <c r="F17" s="13" t="inlineStr">
        <is>
          <t>Medium</t>
        </is>
      </c>
      <c r="G17" s="14" t="inlineStr">
        <is>
          <t>전 화면</t>
        </is>
      </c>
      <c r="H17" s="14" t="inlineStr">
        <is>
          <t>—</t>
        </is>
      </c>
      <c r="I17" s="13" t="inlineStr">
        <is>
          <t>공통</t>
        </is>
      </c>
      <c r="J17" s="15" t="inlineStr">
        <is>
          <t>확정</t>
        </is>
      </c>
      <c r="K17" s="13" t="inlineStr">
        <is>
          <t>수정</t>
        </is>
      </c>
      <c r="L17" s="13" t="inlineStr">
        <is>
          <t>v1.0</t>
        </is>
      </c>
      <c r="M17" s="14" t="inlineStr">
        <is>
          <t>톤앤매너 가이드 기준</t>
        </is>
      </c>
      <c r="N17" s="44" t="inlineStr">
        <is>
          <t>MVP</t>
        </is>
      </c>
    </row>
    <row r="18">
      <c r="A18" s="12" t="inlineStr">
        <is>
          <t>NFR-023</t>
        </is>
      </c>
      <c r="B18" s="13" t="inlineStr">
        <is>
          <t>비기능</t>
        </is>
      </c>
      <c r="C18" s="14" t="inlineStr">
        <is>
          <t>사용성</t>
        </is>
      </c>
      <c r="D18" s="14" t="inlineStr">
        <is>
          <t>일관된 UI</t>
        </is>
      </c>
      <c r="E18" s="14" t="inlineStr">
        <is>
          <t>모든 화면은 톤앤매너 가이드(색상 · 글자 스타일 · 기본 요소 · 하단 메뉴 홈/실천/챗봇/내정보 고정)를 따라야 한다.</t>
        </is>
      </c>
      <c r="F18" s="13" t="inlineStr">
        <is>
          <t>High</t>
        </is>
      </c>
      <c r="G18" s="14" t="inlineStr">
        <is>
          <t>전 화면</t>
        </is>
      </c>
      <c r="H18" s="14" t="inlineStr">
        <is>
          <t>—</t>
        </is>
      </c>
      <c r="I18" s="13" t="inlineStr">
        <is>
          <t>공통</t>
        </is>
      </c>
      <c r="J18" s="15" t="inlineStr">
        <is>
          <t>확정</t>
        </is>
      </c>
      <c r="K18" s="13" t="inlineStr">
        <is>
          <t>수정</t>
        </is>
      </c>
      <c r="L18" s="13" t="inlineStr">
        <is>
          <t>v1.0</t>
        </is>
      </c>
      <c r="M18" s="14" t="inlineStr">
        <is>
          <t>Figma 00 톤앤매너 가이드</t>
        </is>
      </c>
      <c r="N18" s="44" t="inlineStr">
        <is>
          <t>MVP</t>
        </is>
      </c>
    </row>
    <row r="19">
      <c r="A19" s="20" t="inlineStr">
        <is>
          <t>NFR-024</t>
        </is>
      </c>
      <c r="B19" s="21" t="inlineStr">
        <is>
          <t>비기능</t>
        </is>
      </c>
      <c r="C19" s="22" t="inlineStr">
        <is>
          <t>사용성</t>
        </is>
      </c>
      <c r="D19" s="22" t="inlineStr">
        <is>
          <t>상태는 글자 라벨로 표시</t>
        </is>
      </c>
      <c r="E19" s="22" t="inlineStr">
        <is>
          <t>모든 상태(확인됨 · 확인 필요 · 찾지 못함 · 위험 · 완료 등)는 색만으로 구분하지 않고 글자 라벨을 함께 표시한다.</t>
        </is>
      </c>
      <c r="F19" s="21" t="inlineStr">
        <is>
          <t>High</t>
        </is>
      </c>
      <c r="G19" s="22" t="inlineStr">
        <is>
          <t>전 화면</t>
        </is>
      </c>
      <c r="H19" s="22" t="inlineStr">
        <is>
          <t>—</t>
        </is>
      </c>
      <c r="I19" s="21" t="inlineStr">
        <is>
          <t>공통</t>
        </is>
      </c>
      <c r="J19" s="23" t="inlineStr">
        <is>
          <t>확정</t>
        </is>
      </c>
      <c r="K19" s="21" t="inlineStr">
        <is>
          <t>신규</t>
        </is>
      </c>
      <c r="L19" s="21" t="inlineStr">
        <is>
          <t>v1.0</t>
        </is>
      </c>
      <c r="M19" s="22" t="inlineStr">
        <is>
          <t>고령 · 색약 사용자</t>
        </is>
      </c>
      <c r="N19" s="46" t="inlineStr">
        <is>
          <t>MVP</t>
        </is>
      </c>
    </row>
    <row r="20">
      <c r="A20" s="16" t="inlineStr">
        <is>
          <t>NFR-030</t>
        </is>
      </c>
      <c r="B20" s="17" t="inlineStr">
        <is>
          <t>비기능</t>
        </is>
      </c>
      <c r="C20" s="18" t="inlineStr">
        <is>
          <t>품질</t>
        </is>
      </c>
      <c r="D20" s="18" t="inlineStr">
        <is>
          <t>결과 일관성</t>
        </is>
      </c>
      <c r="E20" s="18" t="inlineStr">
        <is>
          <t>동일한 입력에 대해 생성된 안내문의 핵심 정보(약품명 용법 경고)는 반복 실행 시 동일해야 한다.</t>
        </is>
      </c>
      <c r="F20" s="17" t="inlineStr">
        <is>
          <t>High</t>
        </is>
      </c>
      <c r="G20" s="18" t="inlineStr">
        <is>
          <t>RG-04</t>
        </is>
      </c>
      <c r="H20" s="18" t="inlineStr">
        <is>
          <t>R-4</t>
        </is>
      </c>
      <c r="I20" s="17" t="inlineStr">
        <is>
          <t>형준</t>
        </is>
      </c>
      <c r="J20" s="19" t="inlineStr">
        <is>
          <t>확정</t>
        </is>
      </c>
      <c r="K20" s="17" t="inlineStr">
        <is>
          <t>기존</t>
        </is>
      </c>
      <c r="L20" s="17" t="inlineStr">
        <is>
          <t>v0.1</t>
        </is>
      </c>
      <c r="M20" s="18" t="inlineStr">
        <is>
          <t>참여기업 평가 기준 3-3</t>
        </is>
      </c>
      <c r="N20" s="45" t="inlineStr">
        <is>
          <t>MVP</t>
        </is>
      </c>
    </row>
    <row r="21">
      <c r="A21" s="16" t="inlineStr">
        <is>
          <t>NFR-031</t>
        </is>
      </c>
      <c r="B21" s="17" t="inlineStr">
        <is>
          <t>비기능</t>
        </is>
      </c>
      <c r="C21" s="18" t="inlineStr">
        <is>
          <t>품질</t>
        </is>
      </c>
      <c r="D21" s="18" t="inlineStr">
        <is>
          <t>프롬프트 버전 관리</t>
        </is>
      </c>
      <c r="E21" s="18" t="inlineStr">
        <is>
          <t>생성된 안내문에는 사용된 프롬프트 버전과 모델명을 기록해야 한다.</t>
        </is>
      </c>
      <c r="F21" s="17" t="inlineStr">
        <is>
          <t>Medium</t>
        </is>
      </c>
      <c r="G21" s="18" t="inlineStr">
        <is>
          <t>—</t>
        </is>
      </c>
      <c r="H21" s="18" t="inlineStr">
        <is>
          <t>R-4</t>
        </is>
      </c>
      <c r="I21" s="17" t="inlineStr">
        <is>
          <t>형준</t>
        </is>
      </c>
      <c r="J21" s="19" t="inlineStr">
        <is>
          <t>확정</t>
        </is>
      </c>
      <c r="K21" s="17" t="inlineStr">
        <is>
          <t>기존</t>
        </is>
      </c>
      <c r="L21" s="17" t="inlineStr">
        <is>
          <t>v0.1</t>
        </is>
      </c>
      <c r="M21" s="18" t="inlineStr">
        <is>
          <t>평가 기준 3-1 실험 추적</t>
        </is>
      </c>
      <c r="N21" s="45" t="inlineStr">
        <is>
          <t>MVP</t>
        </is>
      </c>
    </row>
    <row r="22">
      <c r="A22" s="20" t="inlineStr">
        <is>
          <t>NFR-032</t>
        </is>
      </c>
      <c r="B22" s="21" t="inlineStr">
        <is>
          <t>비기능</t>
        </is>
      </c>
      <c r="C22" s="22" t="inlineStr">
        <is>
          <t>품질</t>
        </is>
      </c>
      <c r="D22" s="22" t="inlineStr">
        <is>
          <t>경고는 AI를 거치지 않음</t>
        </is>
      </c>
      <c r="E22" s="22" t="inlineStr">
        <is>
          <t>안전성 경고 문장은 DUR 조회 결과를 템플릿으로 표시하며 AI가 요약 · 생성하지 않는다. AI는 쉬운 설명 문장에만 사용한다.</t>
        </is>
      </c>
      <c r="F22" s="21" t="inlineStr">
        <is>
          <t>High</t>
        </is>
      </c>
      <c r="G22" s="22" t="inlineStr">
        <is>
          <t>RG-02 · RG-03</t>
        </is>
      </c>
      <c r="H22" s="22" t="inlineStr">
        <is>
          <t>R-4 · R-5</t>
        </is>
      </c>
      <c r="I22" s="21" t="inlineStr">
        <is>
          <t>형준</t>
        </is>
      </c>
      <c r="J22" s="23" t="inlineStr">
        <is>
          <t>확정</t>
        </is>
      </c>
      <c r="K22" s="21" t="inlineStr">
        <is>
          <t>신규</t>
        </is>
      </c>
      <c r="L22" s="21" t="inlineStr">
        <is>
          <t>v1.0</t>
        </is>
      </c>
      <c r="M22" s="22" t="inlineStr">
        <is>
          <t>요약 중 누락 · 환각 방지</t>
        </is>
      </c>
      <c r="N22" s="46" t="inlineStr">
        <is>
          <t>MVP</t>
        </is>
      </c>
    </row>
    <row r="23">
      <c r="A23" s="20" t="inlineStr">
        <is>
          <t>NFR-033</t>
        </is>
      </c>
      <c r="B23" s="21" t="inlineStr">
        <is>
          <t>비기능</t>
        </is>
      </c>
      <c r="C23" s="22" t="inlineStr">
        <is>
          <t>품질</t>
        </is>
      </c>
      <c r="D23" s="22" t="inlineStr">
        <is>
          <t>의료 표현 기준</t>
        </is>
      </c>
      <c r="E23" s="22" t="inlineStr">
        <is>
          <t>안내 문구는 진단 · 효과 약속 표현("혈압이 내려갑니다")을 쓰지 않고 "도움이 될 수 있어요", "의료진과 상의하세요" 형식을 따른다.</t>
        </is>
      </c>
      <c r="F23" s="21" t="inlineStr">
        <is>
          <t>High</t>
        </is>
      </c>
      <c r="G23" s="22" t="inlineStr">
        <is>
          <t>RG-02~05 · CB-01</t>
        </is>
      </c>
      <c r="H23" s="22" t="inlineStr">
        <is>
          <t>—</t>
        </is>
      </c>
      <c r="I23" s="21" t="inlineStr">
        <is>
          <t>형준</t>
        </is>
      </c>
      <c r="J23" s="24" t="inlineStr">
        <is>
          <t>팀 확인 필요</t>
        </is>
      </c>
      <c r="K23" s="21" t="inlineStr">
        <is>
          <t>신규</t>
        </is>
      </c>
      <c r="L23" s="21" t="inlineStr">
        <is>
          <t>v1.4</t>
        </is>
      </c>
      <c r="M23" s="22" t="inlineStr">
        <is>
          <t>경고 문구 표현 수위 팀 확정 필요</t>
        </is>
      </c>
      <c r="N23" s="46" t="inlineStr">
        <is>
          <t>MVP</t>
        </is>
      </c>
    </row>
    <row r="24">
      <c r="A24" s="16" t="inlineStr">
        <is>
          <t>NFR-040</t>
        </is>
      </c>
      <c r="B24" s="17" t="inlineStr">
        <is>
          <t>비기능</t>
        </is>
      </c>
      <c r="C24" s="18" t="inlineStr">
        <is>
          <t>운영</t>
        </is>
      </c>
      <c r="D24" s="18" t="inlineStr">
        <is>
          <t>배포 환경</t>
        </is>
      </c>
      <c r="E24" s="18" t="inlineStr">
        <is>
          <t>시스템은 Docker 컨테이너로 AWS EC2에 배포되어야 한다.</t>
        </is>
      </c>
      <c r="F24" s="17" t="inlineStr">
        <is>
          <t>Medium</t>
        </is>
      </c>
      <c r="G24" s="18" t="inlineStr">
        <is>
          <t>—</t>
        </is>
      </c>
      <c r="H24" s="18" t="inlineStr">
        <is>
          <t>—</t>
        </is>
      </c>
      <c r="I24" s="17" t="inlineStr">
        <is>
          <t>성규</t>
        </is>
      </c>
      <c r="J24" s="19" t="inlineStr">
        <is>
          <t>확정</t>
        </is>
      </c>
      <c r="K24" s="17" t="inlineStr">
        <is>
          <t>수정</t>
        </is>
      </c>
      <c r="L24" s="17" t="inlineStr">
        <is>
          <t>v1.2</t>
        </is>
      </c>
      <c r="M24" s="18" t="inlineStr">
        <is>
          <t>캠프 제공 인프라 · 우선순위 조정: 배포는 필요하지만 캠프 제공 인프라 사용</t>
        </is>
      </c>
      <c r="N24" s="45" t="inlineStr">
        <is>
          <t>MVP</t>
        </is>
      </c>
    </row>
    <row r="25">
      <c r="A25" s="16" t="inlineStr">
        <is>
          <t>NFR-041</t>
        </is>
      </c>
      <c r="B25" s="17" t="inlineStr">
        <is>
          <t>비기능</t>
        </is>
      </c>
      <c r="C25" s="18" t="inlineStr">
        <is>
          <t>운영</t>
        </is>
      </c>
      <c r="D25" s="18" t="inlineStr">
        <is>
          <t>API 사용량 제한</t>
        </is>
      </c>
      <c r="E25" s="18" t="inlineStr">
        <is>
          <t>외부 API 호출은 동시 요청 수를 제한하여 Rate Limit 초과를 방지해야 한다.</t>
        </is>
      </c>
      <c r="F25" s="17" t="inlineStr">
        <is>
          <t>Low</t>
        </is>
      </c>
      <c r="G25" s="18" t="inlineStr">
        <is>
          <t>—</t>
        </is>
      </c>
      <c r="H25" s="18" t="inlineStr">
        <is>
          <t>—</t>
        </is>
      </c>
      <c r="I25" s="17" t="inlineStr">
        <is>
          <t>성규</t>
        </is>
      </c>
      <c r="J25" s="19" t="inlineStr">
        <is>
          <t>확정</t>
        </is>
      </c>
      <c r="K25" s="17" t="inlineStr">
        <is>
          <t>수정</t>
        </is>
      </c>
      <c r="L25" s="17" t="inlineStr">
        <is>
          <t>v1.2</t>
        </is>
      </c>
      <c r="M25" s="18" t="inlineStr">
        <is>
          <t>팀 공용 API 키 보호 · 우선순위 조정: 일반 구현</t>
        </is>
      </c>
      <c r="N25" s="45" t="inlineStr">
        <is>
          <t>MVP</t>
        </is>
      </c>
    </row>
    <row r="26">
      <c r="A26" s="16" t="inlineStr">
        <is>
          <t>NFR-050</t>
        </is>
      </c>
      <c r="B26" s="17" t="inlineStr">
        <is>
          <t>비기능</t>
        </is>
      </c>
      <c r="C26" s="18" t="inlineStr">
        <is>
          <t>확장성</t>
        </is>
      </c>
      <c r="D26" s="18" t="inlineStr">
        <is>
          <t>데이터 갱신</t>
        </is>
      </c>
      <c r="E26" s="18" t="inlineStr">
        <is>
          <t>DUR 및 의약품 마스터는 월 1회 갱신 가능한 구조로 설계한다.</t>
        </is>
      </c>
      <c r="F26" s="17" t="inlineStr">
        <is>
          <t>Medium</t>
        </is>
      </c>
      <c r="G26" s="18" t="inlineStr">
        <is>
          <t>—</t>
        </is>
      </c>
      <c r="H26" s="18" t="inlineStr">
        <is>
          <t>—</t>
        </is>
      </c>
      <c r="I26" s="17" t="inlineStr">
        <is>
          <t>형준</t>
        </is>
      </c>
      <c r="J26" s="19" t="inlineStr">
        <is>
          <t>확정</t>
        </is>
      </c>
      <c r="K26" s="17" t="inlineStr">
        <is>
          <t>기존</t>
        </is>
      </c>
      <c r="L26" s="17" t="inlineStr">
        <is>
          <t>v0.1</t>
        </is>
      </c>
      <c r="M26" s="18" t="inlineStr">
        <is>
          <t>증분 API 없음 - 스냅샷 비교 방식</t>
        </is>
      </c>
      <c r="N26" s="45" t="inlineStr">
        <is>
          <t>MVP</t>
        </is>
      </c>
    </row>
    <row r="27">
      <c r="A27" s="16" t="inlineStr">
        <is>
          <t>NFR-051</t>
        </is>
      </c>
      <c r="B27" s="17" t="inlineStr">
        <is>
          <t>비기능</t>
        </is>
      </c>
      <c r="C27" s="18" t="inlineStr">
        <is>
          <t>확장성</t>
        </is>
      </c>
      <c r="D27" s="18" t="inlineStr">
        <is>
          <t>질환 확장</t>
        </is>
      </c>
      <c r="E27" s="18" t="inlineStr">
        <is>
          <t>생활습관 가이드는 질환 추가 시 데이터만 추가하면 되는 구조로 설계한다.</t>
        </is>
      </c>
      <c r="F27" s="17" t="inlineStr">
        <is>
          <t>Medium</t>
        </is>
      </c>
      <c r="G27" s="18" t="inlineStr">
        <is>
          <t>—</t>
        </is>
      </c>
      <c r="H27" s="18" t="inlineStr">
        <is>
          <t>—</t>
        </is>
      </c>
      <c r="I27" s="17" t="inlineStr">
        <is>
          <t>형준</t>
        </is>
      </c>
      <c r="J27" s="19" t="inlineStr">
        <is>
          <t>확정</t>
        </is>
      </c>
      <c r="K27" s="17" t="inlineStr">
        <is>
          <t>기존</t>
        </is>
      </c>
      <c r="L27" s="17" t="inlineStr">
        <is>
          <t>v0.1</t>
        </is>
      </c>
      <c r="M27" s="18" t="inlineStr">
        <is>
          <t>평가 기준 2-2</t>
        </is>
      </c>
      <c r="N27" s="45" t="inlineStr">
        <is>
          <t>MVP</t>
        </is>
      </c>
    </row>
  </sheetData>
  <autoFilter ref="A4:N27"/>
  <dataValidations count="5">
    <dataValidation sqref="F5:F77" showDropDown="0" showInputMessage="0" showErrorMessage="0" allowBlank="1" type="list">
      <formula1>"High,Medium,Low"</formula1>
    </dataValidation>
    <dataValidation sqref="J5:J77" showDropDown="0" showInputMessage="0" showErrorMessage="0" allowBlank="1" type="list">
      <formula1>"확정,팀 확인 필요,선택 구현,보류"</formula1>
    </dataValidation>
    <dataValidation sqref="K5:K77" showDropDown="0" showInputMessage="0" showErrorMessage="0" allowBlank="1" type="list">
      <formula1>"기존,수정,신규"</formula1>
    </dataValidation>
    <dataValidation sqref="I5:I77" showDropDown="0" showInputMessage="0" showErrorMessage="0" allowBlank="1" type="list">
      <formula1>"형준,채연,수인,성규,공통"</formula1>
    </dataValidation>
    <dataValidation sqref="N5:N77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2026-09-23T15:15:58Z</dcterms:created>
  <dcterms:modified xmlns:dcterms="http://purl.org/dc/terms/" xmlns:xsi="http://www.w3.org/2001/XMLSchema-instance" xsi:type="dcterms:W3CDTF">2026-09-29T04:29:16Z</dcterms:modified>
</cp:coreProperties>
</file>